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<sst xmlns="http://schemas.openxmlformats.org/spreadsheetml/2006/main" count="79" uniqueCount="38">
  <si>
    <t>客戶名稱</t>
  </si>
  <si>
    <t xml:space="preserve">   晉  盛</t>
  </si>
  <si>
    <t>壽麵</t>
  </si>
  <si>
    <t>雞絲麵</t>
  </si>
  <si>
    <t>總金額:</t>
  </si>
  <si>
    <t>對帳日期</t>
  </si>
  <si>
    <t>115.5.4~6.26</t>
  </si>
  <si>
    <t>機器麵線</t>
  </si>
  <si>
    <t>貨單日期</t>
  </si>
  <si>
    <t>貨單名稱</t>
  </si>
  <si>
    <t>數量</t>
  </si>
  <si>
    <t>單價</t>
  </si>
  <si>
    <r>
      <rPr>
        <sz val="12"/>
        <color theme="1"/>
        <rFont val="新細明體"/>
        <charset val="136"/>
        <scheme val="minor"/>
      </rPr>
      <t>退貨</t>
    </r>
    <r>
      <rPr>
        <sz val="12"/>
        <color rgb="FFFF0000"/>
        <rFont val="新細明體"/>
        <charset val="136"/>
        <scheme val="minor"/>
      </rPr>
      <t xml:space="preserve"> 元</t>
    </r>
  </si>
  <si>
    <t>合計</t>
  </si>
  <si>
    <t>總計金額</t>
  </si>
  <si>
    <t>薑母鴨</t>
  </si>
  <si>
    <t>115.5.4</t>
  </si>
  <si>
    <t>紅盤</t>
  </si>
  <si>
    <t>手工麵線</t>
  </si>
  <si>
    <t>115.5.11</t>
  </si>
  <si>
    <r>
      <rPr>
        <sz val="12"/>
        <color rgb="FFFF0000"/>
        <rFont val="新細明體"/>
        <charset val="136"/>
        <scheme val="minor"/>
      </rPr>
      <t>統鮮</t>
    </r>
    <r>
      <rPr>
        <sz val="12"/>
        <color theme="1"/>
        <rFont val="新細明體"/>
        <charset val="136"/>
        <scheme val="minor"/>
      </rPr>
      <t>機器麵線</t>
    </r>
  </si>
  <si>
    <t>115.5.13</t>
  </si>
  <si>
    <t>115.5.18</t>
  </si>
  <si>
    <t>115.5.22</t>
  </si>
  <si>
    <t>115.5.29</t>
  </si>
  <si>
    <t>115.6.5</t>
  </si>
  <si>
    <t>115.6.10</t>
  </si>
  <si>
    <t>115.6.12</t>
  </si>
  <si>
    <t>115.6.18</t>
  </si>
  <si>
    <t>115.6.26</t>
  </si>
  <si>
    <t>總共11張</t>
  </si>
  <si>
    <t xml:space="preserve">    機</t>
  </si>
  <si>
    <t xml:space="preserve">     手</t>
  </si>
  <si>
    <t xml:space="preserve">    盤</t>
  </si>
  <si>
    <t xml:space="preserve">    雞</t>
  </si>
  <si>
    <t xml:space="preserve">    鴨</t>
  </si>
  <si>
    <t xml:space="preserve">      壽</t>
  </si>
  <si>
    <t xml:space="preserve">     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</si>
</sst>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2"/>
      <color theme="1"/>
      <name val="新細明體"/>
      <charset val="136"/>
      <scheme val="minor"/>
    </font>
    <font>
      <b/>
      <sz val="18"/>
      <color theme="1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2</xdr:row>
      <xdr:rowOff>0</xdr:rowOff>
    </xdr:from>
    <xdr:to>
      <xdr:col>7</xdr:col>
      <xdr:colOff>0</xdr:colOff>
      <xdr:row>2</xdr:row>
      <xdr:rowOff>0</xdr:rowOff>
    </xdr:to>
    <xdr:cxnSp>
      <xdr:nvCxnSpPr>
        <xdr:cNvPr id="3" name="直線接點 2"/>
        <xdr:cNvCxnSpPr/>
      </xdr:nvCxnSpPr>
      <xdr:spPr>
        <a:xfrm>
          <a:off x="38100" y="533400"/>
          <a:ext cx="5010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629920</xdr:colOff>
      <xdr:row>16</xdr:row>
      <xdr:rowOff>219075</xdr:rowOff>
    </xdr:from>
    <xdr:to>
      <xdr:col>19</xdr:col>
      <xdr:colOff>191135</xdr:colOff>
      <xdr:row>16</xdr:row>
      <xdr:rowOff>219075</xdr:rowOff>
    </xdr:to>
    <xdr:cxnSp>
      <xdr:nvCxnSpPr>
        <xdr:cNvPr id="6" name="直線接點 5"/>
        <xdr:cNvCxnSpPr/>
      </xdr:nvCxnSpPr>
      <xdr:spPr>
        <a:xfrm>
          <a:off x="8573770" y="4486275"/>
          <a:ext cx="5047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13</xdr:row>
      <xdr:rowOff>0</xdr:rowOff>
    </xdr:from>
    <xdr:to>
      <xdr:col>6</xdr:col>
      <xdr:colOff>847725</xdr:colOff>
      <xdr:row>13</xdr:row>
      <xdr:rowOff>0</xdr:rowOff>
    </xdr:to>
    <xdr:cxnSp>
      <xdr:nvCxnSpPr>
        <xdr:cNvPr id="9" name="直線接點 8"/>
        <xdr:cNvCxnSpPr/>
      </xdr:nvCxnSpPr>
      <xdr:spPr>
        <a:xfrm>
          <a:off x="635" y="3467100"/>
          <a:ext cx="50285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39370</xdr:colOff>
      <xdr:row>11</xdr:row>
      <xdr:rowOff>209550</xdr:rowOff>
    </xdr:from>
    <xdr:to>
      <xdr:col>19</xdr:col>
      <xdr:colOff>277495</xdr:colOff>
      <xdr:row>11</xdr:row>
      <xdr:rowOff>209550</xdr:rowOff>
    </xdr:to>
    <xdr:cxnSp>
      <xdr:nvCxnSpPr>
        <xdr:cNvPr id="13" name="直線接點 12"/>
        <xdr:cNvCxnSpPr/>
      </xdr:nvCxnSpPr>
      <xdr:spPr>
        <a:xfrm>
          <a:off x="8669020" y="3143250"/>
          <a:ext cx="503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31</xdr:row>
      <xdr:rowOff>0</xdr:rowOff>
    </xdr:from>
    <xdr:to>
      <xdr:col>6</xdr:col>
      <xdr:colOff>857885</xdr:colOff>
      <xdr:row>31</xdr:row>
      <xdr:rowOff>0</xdr:rowOff>
    </xdr:to>
    <xdr:cxnSp>
      <xdr:nvCxnSpPr>
        <xdr:cNvPr id="17" name="直線接點 16"/>
        <xdr:cNvCxnSpPr/>
      </xdr:nvCxnSpPr>
      <xdr:spPr>
        <a:xfrm>
          <a:off x="635" y="8267700"/>
          <a:ext cx="503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9</xdr:row>
      <xdr:rowOff>0</xdr:rowOff>
    </xdr:from>
    <xdr:to>
      <xdr:col>6</xdr:col>
      <xdr:colOff>857885</xdr:colOff>
      <xdr:row>9</xdr:row>
      <xdr:rowOff>1</xdr:rowOff>
    </xdr:to>
    <xdr:cxnSp>
      <xdr:nvCxnSpPr>
        <xdr:cNvPr id="20" name="直線接點 19"/>
        <xdr:cNvCxnSpPr/>
      </xdr:nvCxnSpPr>
      <xdr:spPr>
        <a:xfrm flipV="1">
          <a:off x="635" y="2400300"/>
          <a:ext cx="503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19</xdr:row>
      <xdr:rowOff>0</xdr:rowOff>
    </xdr:from>
    <xdr:to>
      <xdr:col>6</xdr:col>
      <xdr:colOff>829310</xdr:colOff>
      <xdr:row>19</xdr:row>
      <xdr:rowOff>0</xdr:rowOff>
    </xdr:to>
    <xdr:cxnSp>
      <xdr:nvCxnSpPr>
        <xdr:cNvPr id="24" name="直線接點 23"/>
        <xdr:cNvCxnSpPr/>
      </xdr:nvCxnSpPr>
      <xdr:spPr>
        <a:xfrm>
          <a:off x="635" y="5067300"/>
          <a:ext cx="5010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172720</xdr:colOff>
      <xdr:row>19</xdr:row>
      <xdr:rowOff>133350</xdr:rowOff>
    </xdr:from>
    <xdr:to>
      <xdr:col>19</xdr:col>
      <xdr:colOff>410845</xdr:colOff>
      <xdr:row>19</xdr:row>
      <xdr:rowOff>133350</xdr:rowOff>
    </xdr:to>
    <xdr:cxnSp>
      <xdr:nvCxnSpPr>
        <xdr:cNvPr id="27" name="直線接點 26"/>
        <xdr:cNvCxnSpPr/>
      </xdr:nvCxnSpPr>
      <xdr:spPr>
        <a:xfrm>
          <a:off x="8802370" y="5200650"/>
          <a:ext cx="503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5</xdr:row>
      <xdr:rowOff>0</xdr:rowOff>
    </xdr:from>
    <xdr:to>
      <xdr:col>7</xdr:col>
      <xdr:colOff>0</xdr:colOff>
      <xdr:row>5</xdr:row>
      <xdr:rowOff>0</xdr:rowOff>
    </xdr:to>
    <xdr:cxnSp>
      <xdr:nvCxnSpPr>
        <xdr:cNvPr id="30" name="直線接點 29"/>
        <xdr:cNvCxnSpPr/>
      </xdr:nvCxnSpPr>
      <xdr:spPr>
        <a:xfrm>
          <a:off x="635" y="1333500"/>
          <a:ext cx="5047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10</xdr:row>
      <xdr:rowOff>0</xdr:rowOff>
    </xdr:from>
    <xdr:to>
      <xdr:col>6</xdr:col>
      <xdr:colOff>857885</xdr:colOff>
      <xdr:row>10</xdr:row>
      <xdr:rowOff>0</xdr:rowOff>
    </xdr:to>
    <xdr:cxnSp>
      <xdr:nvCxnSpPr>
        <xdr:cNvPr id="34" name="直線接點 33"/>
        <xdr:cNvCxnSpPr/>
      </xdr:nvCxnSpPr>
      <xdr:spPr>
        <a:xfrm>
          <a:off x="635" y="2667000"/>
          <a:ext cx="503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458470</xdr:colOff>
      <xdr:row>27</xdr:row>
      <xdr:rowOff>257175</xdr:rowOff>
    </xdr:from>
    <xdr:to>
      <xdr:col>20</xdr:col>
      <xdr:colOff>1270</xdr:colOff>
      <xdr:row>27</xdr:row>
      <xdr:rowOff>257175</xdr:rowOff>
    </xdr:to>
    <xdr:cxnSp>
      <xdr:nvCxnSpPr>
        <xdr:cNvPr id="38" name="直線接點 37"/>
        <xdr:cNvCxnSpPr/>
      </xdr:nvCxnSpPr>
      <xdr:spPr>
        <a:xfrm>
          <a:off x="9088120" y="7458075"/>
          <a:ext cx="5029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34</xdr:row>
      <xdr:rowOff>0</xdr:rowOff>
    </xdr:from>
    <xdr:to>
      <xdr:col>6</xdr:col>
      <xdr:colOff>857885</xdr:colOff>
      <xdr:row>34</xdr:row>
      <xdr:rowOff>0</xdr:rowOff>
    </xdr:to>
    <xdr:cxnSp>
      <xdr:nvCxnSpPr>
        <xdr:cNvPr id="4" name="直線接點 3"/>
        <xdr:cNvCxnSpPr/>
      </xdr:nvCxnSpPr>
      <xdr:spPr>
        <a:xfrm>
          <a:off x="635" y="9067800"/>
          <a:ext cx="503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28</xdr:row>
      <xdr:rowOff>0</xdr:rowOff>
    </xdr:from>
    <xdr:to>
      <xdr:col>7</xdr:col>
      <xdr:colOff>0</xdr:colOff>
      <xdr:row>28</xdr:row>
      <xdr:rowOff>0</xdr:rowOff>
    </xdr:to>
    <xdr:cxnSp>
      <xdr:nvCxnSpPr>
        <xdr:cNvPr id="11" name="直線接點 10"/>
        <xdr:cNvCxnSpPr/>
      </xdr:nvCxnSpPr>
      <xdr:spPr>
        <a:xfrm>
          <a:off x="635" y="7467600"/>
          <a:ext cx="5047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25</xdr:row>
      <xdr:rowOff>0</xdr:rowOff>
    </xdr:from>
    <xdr:to>
      <xdr:col>6</xdr:col>
      <xdr:colOff>857885</xdr:colOff>
      <xdr:row>25</xdr:row>
      <xdr:rowOff>0</xdr:rowOff>
    </xdr:to>
    <xdr:cxnSp>
      <xdr:nvCxnSpPr>
        <xdr:cNvPr id="25" name="直線接點 24"/>
        <xdr:cNvCxnSpPr/>
      </xdr:nvCxnSpPr>
      <xdr:spPr>
        <a:xfrm>
          <a:off x="635" y="6667500"/>
          <a:ext cx="503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22</xdr:row>
      <xdr:rowOff>0</xdr:rowOff>
    </xdr:from>
    <xdr:to>
      <xdr:col>6</xdr:col>
      <xdr:colOff>848360</xdr:colOff>
      <xdr:row>22</xdr:row>
      <xdr:rowOff>0</xdr:rowOff>
    </xdr:to>
    <xdr:cxnSp>
      <xdr:nvCxnSpPr>
        <xdr:cNvPr id="31" name="直線接點 30"/>
        <xdr:cNvCxnSpPr/>
      </xdr:nvCxnSpPr>
      <xdr:spPr>
        <a:xfrm>
          <a:off x="635" y="5867400"/>
          <a:ext cx="5029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77470</xdr:colOff>
      <xdr:row>19</xdr:row>
      <xdr:rowOff>9525</xdr:rowOff>
    </xdr:from>
    <xdr:to>
      <xdr:col>19</xdr:col>
      <xdr:colOff>295275</xdr:colOff>
      <xdr:row>19</xdr:row>
      <xdr:rowOff>19050</xdr:rowOff>
    </xdr:to>
    <xdr:cxnSp>
      <xdr:nvCxnSpPr>
        <xdr:cNvPr id="5" name="直線連接符 4"/>
        <xdr:cNvCxnSpPr/>
      </xdr:nvCxnSpPr>
      <xdr:spPr>
        <a:xfrm>
          <a:off x="8707120" y="5076825"/>
          <a:ext cx="5018405" cy="952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16</xdr:row>
      <xdr:rowOff>0</xdr:rowOff>
    </xdr:from>
    <xdr:to>
      <xdr:col>6</xdr:col>
      <xdr:colOff>819785</xdr:colOff>
      <xdr:row>16</xdr:row>
      <xdr:rowOff>0</xdr:rowOff>
    </xdr:to>
    <xdr:cxnSp>
      <xdr:nvCxnSpPr>
        <xdr:cNvPr id="7" name="直線連接符 6"/>
        <xdr:cNvCxnSpPr/>
      </xdr:nvCxnSpPr>
      <xdr:spPr>
        <a:xfrm>
          <a:off x="635" y="4267200"/>
          <a:ext cx="5000625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"/>
  <sheetViews>
    <sheetView tabSelected="1" topLeftCell="A18" workbookViewId="0">
      <selection activeCell="A1" sqref="A1:G42"/>
    </sheetView>
  </sheetViews>
  <sheetFormatPr defaultColWidth="9" defaultRowHeight="16.5"/>
  <cols>
    <col min="1" max="1" width="10.375" customWidth="1"/>
    <col min="2" max="2" width="12.625" customWidth="1"/>
    <col min="3" max="3" width="7.125" customWidth="1"/>
    <col min="4" max="4" width="7.375" customWidth="1"/>
    <col min="5" max="5" width="8.375" customWidth="1"/>
    <col min="7" max="7" width="11.375" customWidth="1"/>
    <col min="10" max="10" width="12.875" customWidth="1"/>
    <col min="11" max="11" width="7.125" customWidth="1"/>
  </cols>
  <sheetData>
    <row r="1" ht="21" customHeight="1" spans="1:12">
      <c r="A1" t="s">
        <v>0</v>
      </c>
      <c r="C1" s="1" t="s">
        <v>1</v>
      </c>
      <c r="I1" t="s">
        <v>2</v>
      </c>
      <c r="J1" t="s">
        <v>3</v>
      </c>
      <c r="K1" s="2">
        <v>350</v>
      </c>
      <c r="L1" t="s">
        <v>4</v>
      </c>
    </row>
    <row r="2" ht="21" customHeight="1" spans="1:12">
      <c r="A2" t="s">
        <v>5</v>
      </c>
      <c r="B2" t="s">
        <v>6</v>
      </c>
      <c r="I2" t="s">
        <v>7</v>
      </c>
      <c r="J2" t="s">
        <v>2</v>
      </c>
      <c r="K2" s="2">
        <v>320</v>
      </c>
    </row>
    <row r="3" ht="21" customHeight="1" spans="1:1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I3" t="s">
        <v>15</v>
      </c>
      <c r="J3" t="s">
        <v>7</v>
      </c>
      <c r="K3" s="2">
        <v>240</v>
      </c>
    </row>
    <row r="4" ht="21" customHeight="1" spans="1:12">
      <c r="A4" t="s">
        <v>16</v>
      </c>
      <c r="B4" t="s">
        <v>7</v>
      </c>
      <c r="C4">
        <v>30</v>
      </c>
      <c r="D4">
        <v>240</v>
      </c>
      <c r="F4">
        <f>C4*D4</f>
        <v>7200</v>
      </c>
      <c r="I4" t="s">
        <v>7</v>
      </c>
      <c r="J4" t="s">
        <v>17</v>
      </c>
      <c r="K4" s="2">
        <v>650</v>
      </c>
    </row>
    <row r="5" ht="21" customHeight="1" spans="1:12">
      <c r="B5" t="s">
        <v>18</v>
      </c>
      <c r="C5">
        <v>30</v>
      </c>
      <c r="D5">
        <v>410</v>
      </c>
      <c r="E5" s="2"/>
      <c r="F5">
        <f>C5*D5</f>
        <v>12300</v>
      </c>
      <c r="G5">
        <f>F4+F5</f>
        <v>19500</v>
      </c>
      <c r="I5" t="s">
        <v>7</v>
      </c>
      <c r="J5" t="s">
        <v>18</v>
      </c>
      <c r="K5" s="2">
        <v>410</v>
      </c>
    </row>
    <row r="6" ht="21" customHeight="1" spans="1:12">
      <c r="A6" t="s">
        <v>19</v>
      </c>
      <c r="B6" t="s">
        <v>7</v>
      </c>
      <c r="C6">
        <v>20</v>
      </c>
      <c r="D6">
        <v>240</v>
      </c>
      <c r="F6">
        <f>C6*D6</f>
        <v>4800</v>
      </c>
      <c r="I6" t="s">
        <v>18</v>
      </c>
      <c r="J6" t="s">
        <v>15</v>
      </c>
      <c r="K6" s="2">
        <v>320</v>
      </c>
    </row>
    <row r="7" ht="21" customHeight="1" spans="1:12">
      <c r="B7" t="s">
        <v>18</v>
      </c>
      <c r="C7">
        <v>20</v>
      </c>
      <c r="D7">
        <v>410</v>
      </c>
      <c r="E7" s="2"/>
      <c r="F7">
        <f>C7*D7</f>
        <v>8200</v>
      </c>
      <c r="I7" t="s">
        <v>15</v>
      </c>
      <c r="J7" s="3" t="s">
        <v>20</v>
      </c>
    </row>
    <row r="8" ht="21" customHeight="1" spans="1:12">
      <c r="B8" t="s">
        <v>17</v>
      </c>
      <c r="C8">
        <v>3</v>
      </c>
      <c r="D8">
        <v>650</v>
      </c>
      <c r="F8">
        <f t="shared" ref="F8:F31" si="0">C8*D8</f>
        <v>1950</v>
      </c>
      <c r="I8" t="s">
        <v>3</v>
      </c>
      <c r="J8" s="3" t="s">
        <v>20</v>
      </c>
    </row>
    <row r="9" ht="21" customHeight="1" spans="1:12">
      <c r="B9" t="s">
        <v>15</v>
      </c>
      <c r="C9">
        <v>10</v>
      </c>
      <c r="D9">
        <v>95</v>
      </c>
      <c r="E9" s="2"/>
      <c r="F9">
        <f t="shared" si="0"/>
        <v>950</v>
      </c>
      <c r="G9">
        <f>F6+F7+F8+F9</f>
        <v>15900</v>
      </c>
    </row>
    <row r="10" ht="21" customHeight="1" spans="1:12">
      <c r="A10" t="s">
        <v>21</v>
      </c>
      <c r="B10" t="s">
        <v>7</v>
      </c>
      <c r="C10">
        <v>30</v>
      </c>
      <c r="D10">
        <v>240</v>
      </c>
      <c r="F10">
        <f t="shared" si="0"/>
        <v>7200</v>
      </c>
      <c r="G10">
        <f>F10</f>
        <v>7200</v>
      </c>
    </row>
    <row r="11" ht="21" customHeight="1" spans="1:12">
      <c r="A11" t="s">
        <v>22</v>
      </c>
      <c r="B11" t="s">
        <v>17</v>
      </c>
      <c r="C11">
        <v>5</v>
      </c>
      <c r="D11">
        <v>650</v>
      </c>
      <c r="F11">
        <f t="shared" si="0"/>
        <v>3250</v>
      </c>
    </row>
    <row r="12" ht="21" customHeight="1" spans="1:12">
      <c r="B12" t="s">
        <v>7</v>
      </c>
      <c r="C12">
        <v>10</v>
      </c>
      <c r="D12">
        <v>240</v>
      </c>
      <c r="F12">
        <f t="shared" si="0"/>
        <v>2400</v>
      </c>
    </row>
    <row r="13" ht="21" customHeight="1" spans="1:12">
      <c r="B13" t="s">
        <v>18</v>
      </c>
      <c r="C13">
        <v>30</v>
      </c>
      <c r="D13">
        <v>410</v>
      </c>
      <c r="F13">
        <f t="shared" si="0"/>
        <v>12300</v>
      </c>
      <c r="G13">
        <f>F11+F12+F13</f>
        <v>17950</v>
      </c>
    </row>
    <row r="14" ht="21" customHeight="1" spans="1:12">
      <c r="A14" t="s">
        <v>23</v>
      </c>
      <c r="B14" t="s">
        <v>3</v>
      </c>
      <c r="C14">
        <v>5</v>
      </c>
      <c r="D14">
        <v>375</v>
      </c>
      <c r="F14">
        <f t="shared" si="0"/>
        <v>1875</v>
      </c>
    </row>
    <row r="15" ht="21" customHeight="1" spans="1:12">
      <c r="B15" t="s">
        <v>7</v>
      </c>
      <c r="C15">
        <v>20</v>
      </c>
      <c r="D15">
        <v>240</v>
      </c>
      <c r="F15">
        <f t="shared" si="0"/>
        <v>4800</v>
      </c>
    </row>
    <row r="16" ht="21" customHeight="1" spans="1:12">
      <c r="B16" t="s">
        <v>18</v>
      </c>
      <c r="C16">
        <v>15</v>
      </c>
      <c r="D16">
        <v>410</v>
      </c>
      <c r="E16" s="2"/>
      <c r="F16">
        <f t="shared" si="0"/>
        <v>6150</v>
      </c>
      <c r="G16">
        <f>F14+F15+F16</f>
        <v>12825</v>
      </c>
    </row>
    <row r="17" ht="21" customHeight="1" spans="1:7">
      <c r="A17" t="s">
        <v>24</v>
      </c>
      <c r="B17" t="s">
        <v>17</v>
      </c>
      <c r="C17">
        <v>2</v>
      </c>
      <c r="D17">
        <v>650</v>
      </c>
      <c r="F17">
        <f t="shared" si="0"/>
        <v>1300</v>
      </c>
    </row>
    <row r="18" ht="21" customHeight="1" spans="1:7">
      <c r="B18" t="s">
        <v>15</v>
      </c>
      <c r="C18">
        <v>15</v>
      </c>
      <c r="D18">
        <v>95</v>
      </c>
      <c r="F18">
        <f t="shared" si="0"/>
        <v>1425</v>
      </c>
    </row>
    <row r="19" ht="21" customHeight="1" spans="1:7">
      <c r="B19" t="s">
        <v>18</v>
      </c>
      <c r="C19">
        <v>30</v>
      </c>
      <c r="D19">
        <v>410</v>
      </c>
      <c r="F19">
        <f t="shared" si="0"/>
        <v>12300</v>
      </c>
      <c r="G19">
        <f>F17+F18+F19</f>
        <v>15025</v>
      </c>
    </row>
    <row r="20" ht="21" customHeight="1" spans="1:7">
      <c r="A20" t="s">
        <v>25</v>
      </c>
      <c r="B20" t="s">
        <v>15</v>
      </c>
      <c r="C20">
        <v>20</v>
      </c>
      <c r="D20">
        <v>95</v>
      </c>
      <c r="F20">
        <f t="shared" si="0"/>
        <v>1900</v>
      </c>
    </row>
    <row r="21" ht="21" customHeight="1" spans="1:7">
      <c r="B21" t="s">
        <v>7</v>
      </c>
      <c r="C21">
        <v>35</v>
      </c>
      <c r="D21">
        <v>240</v>
      </c>
      <c r="F21">
        <f t="shared" si="0"/>
        <v>8400</v>
      </c>
    </row>
    <row r="22" ht="21" customHeight="1" spans="1:7">
      <c r="B22" t="s">
        <v>18</v>
      </c>
      <c r="C22">
        <v>20</v>
      </c>
      <c r="D22">
        <v>410</v>
      </c>
      <c r="F22">
        <f t="shared" si="0"/>
        <v>8200</v>
      </c>
      <c r="G22">
        <f>F20+F21+F22</f>
        <v>18500</v>
      </c>
    </row>
    <row r="23" ht="21" customHeight="1" spans="1:7">
      <c r="A23" t="s">
        <v>26</v>
      </c>
      <c r="B23" t="s">
        <v>7</v>
      </c>
      <c r="C23">
        <v>40</v>
      </c>
      <c r="D23">
        <v>240</v>
      </c>
      <c r="F23">
        <f t="shared" si="0"/>
        <v>9600</v>
      </c>
    </row>
    <row r="24" ht="21" customHeight="1" spans="1:7">
      <c r="B24" t="s">
        <v>18</v>
      </c>
      <c r="C24">
        <v>15</v>
      </c>
      <c r="D24">
        <v>410</v>
      </c>
      <c r="E24" s="2"/>
      <c r="F24">
        <f t="shared" si="0"/>
        <v>6150</v>
      </c>
    </row>
    <row r="25" ht="21" customHeight="1" spans="1:7">
      <c r="B25" t="s">
        <v>3</v>
      </c>
      <c r="C25">
        <v>3</v>
      </c>
      <c r="D25">
        <v>375</v>
      </c>
      <c r="E25" s="2"/>
      <c r="F25">
        <f t="shared" si="0"/>
        <v>1125</v>
      </c>
      <c r="G25">
        <f>F23+F24+F25</f>
        <v>16875</v>
      </c>
    </row>
    <row r="26" ht="21" customHeight="1" spans="1:7">
      <c r="A26" t="s">
        <v>27</v>
      </c>
      <c r="B26" t="s">
        <v>17</v>
      </c>
      <c r="C26">
        <v>5</v>
      </c>
      <c r="D26">
        <v>650</v>
      </c>
      <c r="F26">
        <f t="shared" si="0"/>
        <v>3250</v>
      </c>
    </row>
    <row r="27" ht="21" customHeight="1" spans="1:7">
      <c r="B27" t="s">
        <v>18</v>
      </c>
      <c r="C27">
        <v>10</v>
      </c>
      <c r="D27">
        <v>410</v>
      </c>
      <c r="F27">
        <f t="shared" si="0"/>
        <v>4100</v>
      </c>
    </row>
    <row r="28" ht="21" customHeight="1" spans="1:7">
      <c r="B28" t="s">
        <v>7</v>
      </c>
      <c r="C28">
        <v>10</v>
      </c>
      <c r="D28">
        <v>240</v>
      </c>
      <c r="F28">
        <f t="shared" si="0"/>
        <v>2400</v>
      </c>
      <c r="G28">
        <f>F26+F27+F28</f>
        <v>9750</v>
      </c>
    </row>
    <row r="29" ht="21" customHeight="1" spans="1:7">
      <c r="A29" t="s">
        <v>28</v>
      </c>
      <c r="B29" t="s">
        <v>15</v>
      </c>
      <c r="C29">
        <v>5</v>
      </c>
      <c r="D29">
        <v>95</v>
      </c>
      <c r="F29">
        <f t="shared" si="0"/>
        <v>475</v>
      </c>
    </row>
    <row r="30" ht="21" customHeight="1" spans="1:7">
      <c r="B30" t="s">
        <v>17</v>
      </c>
      <c r="C30">
        <v>2</v>
      </c>
      <c r="D30">
        <v>650</v>
      </c>
      <c r="F30">
        <f t="shared" si="0"/>
        <v>1300</v>
      </c>
    </row>
    <row r="31" ht="21" customHeight="1" spans="1:7">
      <c r="B31" t="s">
        <v>18</v>
      </c>
      <c r="C31">
        <v>25</v>
      </c>
      <c r="D31">
        <v>410</v>
      </c>
      <c r="E31" s="2"/>
      <c r="F31">
        <f t="shared" si="0"/>
        <v>10250</v>
      </c>
      <c r="G31">
        <f>F29+F30+F31</f>
        <v>12025</v>
      </c>
    </row>
    <row r="32" ht="21" customHeight="1" spans="1:7">
      <c r="A32" t="s">
        <v>29</v>
      </c>
      <c r="B32" t="s">
        <v>15</v>
      </c>
      <c r="C32">
        <v>10</v>
      </c>
      <c r="D32">
        <v>95</v>
      </c>
      <c r="E32" s="2"/>
      <c r="F32">
        <f>C32*D32</f>
        <v>950</v>
      </c>
    </row>
    <row r="33" ht="21" customHeight="1" spans="1:7">
      <c r="B33" t="s">
        <v>7</v>
      </c>
      <c r="C33">
        <v>40</v>
      </c>
      <c r="D33">
        <v>240</v>
      </c>
      <c r="F33">
        <f>C33*D33</f>
        <v>9600</v>
      </c>
    </row>
    <row r="34" ht="21" customHeight="1" spans="1:7">
      <c r="B34" t="s">
        <v>18</v>
      </c>
      <c r="C34">
        <v>30</v>
      </c>
      <c r="D34">
        <v>410</v>
      </c>
      <c r="F34">
        <f>C34*D34</f>
        <v>12300</v>
      </c>
      <c r="G34">
        <f>F32+F33+F34</f>
        <v>22850</v>
      </c>
    </row>
    <row r="35" ht="21" customHeight="1" spans="1:7">
      <c r="F35" t="s">
        <v>30</v>
      </c>
      <c r="G35">
        <f>G5+G9+G10+G13+G16+G19+G22+G25+G28+G31+G34</f>
        <v>168400</v>
      </c>
    </row>
    <row r="36" ht="21" customHeight="1"/>
    <row r="37" ht="21" customHeight="1" spans="1:7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 s="2" t="s">
        <v>37</v>
      </c>
    </row>
    <row r="38" ht="21" customHeight="1" spans="1:7">
      <c r="A38">
        <f>C4+C6+C10+C12+C15+C21+C23+C28+C33</f>
        <v>235</v>
      </c>
      <c r="B38">
        <f>C5+C7+C13+C16+C19+C22+C24+C27+C31+C34</f>
        <v>225</v>
      </c>
      <c r="C38">
        <f>C8+C11+C17+C26+C30</f>
        <v>17</v>
      </c>
      <c r="D38">
        <f>C14+C25</f>
        <v>8</v>
      </c>
      <c r="E38">
        <f>C9+C18+C20+C29+C32</f>
        <v>60</v>
      </c>
    </row>
    <row r="39" ht="21" customHeight="1" spans="1:7">
      <c r="A39">
        <f>A38*D33</f>
        <v>56400</v>
      </c>
      <c r="B39">
        <f>B38*D34</f>
        <v>92250</v>
      </c>
      <c r="C39">
        <f>C38*D30</f>
        <v>11050</v>
      </c>
      <c r="D39">
        <f>D38*D25</f>
        <v>3000</v>
      </c>
      <c r="E39">
        <f>E38*D32</f>
        <v>5700</v>
      </c>
    </row>
    <row r="40" ht="21" customHeight="1"/>
    <row r="41" ht="21" customHeight="1"/>
    <row r="42" ht="21" customHeight="1" spans="1:7">
      <c r="A42" t="s">
        <v>4</v>
      </c>
      <c r="B42">
        <f>A39+B39+C39+D39+E39</f>
        <v>168400</v>
      </c>
    </row>
    <row r="43" ht="21" customHeight="1"/>
    <row r="44" ht="21" customHeight="1"/>
    <row r="45" ht="21" customHeight="1" spans="1:7">
      <c r="G45" s="2"/>
    </row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</sheetData>
  <pageMargins left="0.708661417322835" right="0.708661417322835" top="0.748031496062992" bottom="0.748031496062992" header="0.31496062992126" footer="0.31496062992126"/>
  <pageSetup paperSize="9" scale="125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范棋華</cp:lastModifiedBy>
  <dcterms:created xsi:type="dcterms:W3CDTF">2022-10-24T11:23:00Z</dcterms:created>
  <cp:lastPrinted>2026-01-04T09:07:00Z</cp:lastPrinted>
  <dcterms:modified xsi:type="dcterms:W3CDTF">2026-07-08T00:38:25Z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3076-12.1.0.26880</vt:lpwstr>
  </property>
  <property fmtid="{D5CDD505-2E9C-101B-9397-08002B2CF9AE}" pid="3" name="CalculationRule">
    <vt:i4>0</vt:i4>
  </property>
  <property fmtid="{D5CDD505-2E9C-101B-9397-08002B2CF9AE}" pid="4" name="ICV">
    <vt:lpwstr>D56127847C5945CF8147C2B9F0704196_12</vt:lpwstr>
  </property>
</Properties>
</file>