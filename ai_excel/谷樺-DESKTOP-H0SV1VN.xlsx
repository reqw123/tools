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<sst xmlns="http://schemas.openxmlformats.org/spreadsheetml/2006/main" count="49" uniqueCount="30">
  <si>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客戶名稱</t>
  </si>
  <si>
    <t xml:space="preserve">     谷 樺</t>
  </si>
  <si>
    <t>機器麵線</t>
  </si>
  <si>
    <r>
      <rPr>
        <sz val="12"/>
        <color theme="1"/>
        <rFont val="新細明體"/>
        <charset val="136"/>
        <scheme val="minor"/>
      </rPr>
      <t xml:space="preserve">紅盤  </t>
    </r>
    <r>
      <rPr>
        <sz val="12"/>
        <color rgb="FFFF0000"/>
        <rFont val="新細明體"/>
        <charset val="136"/>
        <scheme val="minor"/>
      </rPr>
      <t>660</t>
    </r>
  </si>
  <si>
    <t>對帳日期</t>
  </si>
  <si>
    <t>115.6.26~7.24</t>
  </si>
  <si>
    <t>機長麵線</t>
  </si>
  <si>
    <t>貨單日期</t>
  </si>
  <si>
    <t>貨單名稱</t>
  </si>
  <si>
    <t>數量</t>
  </si>
  <si>
    <t>單價</t>
  </si>
  <si>
    <r>
      <rPr>
        <sz val="12"/>
        <color theme="1"/>
        <rFont val="新細明體"/>
        <charset val="136"/>
        <scheme val="minor"/>
      </rPr>
      <t>退貨</t>
    </r>
    <r>
      <rPr>
        <sz val="12"/>
        <color rgb="FFFF0000"/>
        <rFont val="新細明體"/>
        <charset val="136"/>
        <scheme val="minor"/>
      </rPr>
      <t xml:space="preserve"> 元</t>
    </r>
  </si>
  <si>
    <t>合計</t>
  </si>
  <si>
    <t>總計金額</t>
  </si>
  <si>
    <t>115.6.26</t>
  </si>
  <si>
    <t>紅盤</t>
  </si>
  <si>
    <t>手工麵線</t>
  </si>
  <si>
    <t>115.7.1</t>
  </si>
  <si>
    <t>115.7.3</t>
  </si>
  <si>
    <t>115.7.6</t>
  </si>
  <si>
    <t>115.7.8</t>
  </si>
  <si>
    <t>115.7.15</t>
  </si>
  <si>
    <t>115.7.20.</t>
  </si>
  <si>
    <t>115.7.24</t>
  </si>
  <si>
    <t>總共8張</t>
  </si>
  <si>
    <t xml:space="preserve">       機</t>
  </si>
  <si>
    <t xml:space="preserve">     機長</t>
  </si>
  <si>
    <t xml:space="preserve">    手</t>
  </si>
  <si>
    <t xml:space="preserve">    盤</t>
  </si>
  <si>
    <t xml:space="preserve">    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</si>
</sst>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4">
    <font>
      <sz val="12"/>
      <color theme="1"/>
      <name val="新細明體"/>
      <charset val="136"/>
      <scheme val="minor"/>
    </font>
    <font>
      <b/>
      <sz val="18"/>
      <color theme="1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12"/>
      <name val="新細明體"/>
      <charset val="136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9</xdr:row>
      <xdr:rowOff>0</xdr:rowOff>
    </xdr:from>
    <xdr:to>
      <xdr:col>7</xdr:col>
      <xdr:colOff>10160</xdr:colOff>
      <xdr:row>9</xdr:row>
      <xdr:rowOff>0</xdr:rowOff>
    </xdr:to>
    <xdr:cxnSp>
      <xdr:nvCxnSpPr>
        <xdr:cNvPr id="3" name="直線接點 2"/>
        <xdr:cNvCxnSpPr/>
      </xdr:nvCxnSpPr>
      <xdr:spPr>
        <a:xfrm>
          <a:off x="635" y="2400300"/>
          <a:ext cx="4914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114300</xdr:colOff>
      <xdr:row>16</xdr:row>
      <xdr:rowOff>171450</xdr:rowOff>
    </xdr:from>
    <xdr:to>
      <xdr:col>22</xdr:col>
      <xdr:colOff>219075</xdr:colOff>
      <xdr:row>16</xdr:row>
      <xdr:rowOff>171450</xdr:rowOff>
    </xdr:to>
    <xdr:cxnSp>
      <xdr:nvCxnSpPr>
        <xdr:cNvPr id="6" name="直線接點 5"/>
        <xdr:cNvCxnSpPr/>
      </xdr:nvCxnSpPr>
      <xdr:spPr>
        <a:xfrm>
          <a:off x="10506075" y="4438650"/>
          <a:ext cx="49053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12</xdr:row>
      <xdr:rowOff>0</xdr:rowOff>
    </xdr:from>
    <xdr:to>
      <xdr:col>6</xdr:col>
      <xdr:colOff>866140</xdr:colOff>
      <xdr:row>12</xdr:row>
      <xdr:rowOff>0</xdr:rowOff>
    </xdr:to>
    <xdr:cxnSp>
      <xdr:nvCxnSpPr>
        <xdr:cNvPr id="9" name="直線接點 8"/>
        <xdr:cNvCxnSpPr/>
      </xdr:nvCxnSpPr>
      <xdr:spPr>
        <a:xfrm>
          <a:off x="635" y="3200400"/>
          <a:ext cx="49041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20</xdr:row>
      <xdr:rowOff>0</xdr:rowOff>
    </xdr:from>
    <xdr:to>
      <xdr:col>6</xdr:col>
      <xdr:colOff>848995</xdr:colOff>
      <xdr:row>20</xdr:row>
      <xdr:rowOff>0</xdr:rowOff>
    </xdr:to>
    <xdr:cxnSp>
      <xdr:nvCxnSpPr>
        <xdr:cNvPr id="13" name="直線接點 12"/>
        <xdr:cNvCxnSpPr/>
      </xdr:nvCxnSpPr>
      <xdr:spPr>
        <a:xfrm>
          <a:off x="635" y="5334000"/>
          <a:ext cx="48869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15</xdr:row>
      <xdr:rowOff>0</xdr:rowOff>
    </xdr:from>
    <xdr:to>
      <xdr:col>7</xdr:col>
      <xdr:colOff>0</xdr:colOff>
      <xdr:row>15</xdr:row>
      <xdr:rowOff>0</xdr:rowOff>
    </xdr:to>
    <xdr:cxnSp>
      <xdr:nvCxnSpPr>
        <xdr:cNvPr id="16" name="直線接點 15"/>
        <xdr:cNvCxnSpPr/>
      </xdr:nvCxnSpPr>
      <xdr:spPr>
        <a:xfrm>
          <a:off x="635" y="4000500"/>
          <a:ext cx="49047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17</xdr:row>
      <xdr:rowOff>0</xdr:rowOff>
    </xdr:from>
    <xdr:to>
      <xdr:col>7</xdr:col>
      <xdr:colOff>19685</xdr:colOff>
      <xdr:row>17</xdr:row>
      <xdr:rowOff>0</xdr:rowOff>
    </xdr:to>
    <xdr:cxnSp>
      <xdr:nvCxnSpPr>
        <xdr:cNvPr id="19" name="直線接點 18"/>
        <xdr:cNvCxnSpPr/>
      </xdr:nvCxnSpPr>
      <xdr:spPr>
        <a:xfrm>
          <a:off x="635" y="4533900"/>
          <a:ext cx="4924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248920</xdr:colOff>
      <xdr:row>16</xdr:row>
      <xdr:rowOff>66675</xdr:rowOff>
    </xdr:from>
    <xdr:to>
      <xdr:col>21</xdr:col>
      <xdr:colOff>334645</xdr:colOff>
      <xdr:row>16</xdr:row>
      <xdr:rowOff>66675</xdr:rowOff>
    </xdr:to>
    <xdr:cxnSp>
      <xdr:nvCxnSpPr>
        <xdr:cNvPr id="23" name="直線接點 22"/>
        <xdr:cNvCxnSpPr/>
      </xdr:nvCxnSpPr>
      <xdr:spPr>
        <a:xfrm>
          <a:off x="9954895" y="4333875"/>
          <a:ext cx="4886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0</xdr:rowOff>
    </xdr:from>
    <xdr:to>
      <xdr:col>7</xdr:col>
      <xdr:colOff>9525</xdr:colOff>
      <xdr:row>2</xdr:row>
      <xdr:rowOff>0</xdr:rowOff>
    </xdr:to>
    <xdr:cxnSp>
      <xdr:nvCxnSpPr>
        <xdr:cNvPr id="26" name="直線接點 25"/>
        <xdr:cNvCxnSpPr/>
      </xdr:nvCxnSpPr>
      <xdr:spPr>
        <a:xfrm>
          <a:off x="0" y="533400"/>
          <a:ext cx="4914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7</xdr:row>
      <xdr:rowOff>0</xdr:rowOff>
    </xdr:from>
    <xdr:to>
      <xdr:col>7</xdr:col>
      <xdr:colOff>10160</xdr:colOff>
      <xdr:row>7</xdr:row>
      <xdr:rowOff>1</xdr:rowOff>
    </xdr:to>
    <xdr:cxnSp>
      <xdr:nvCxnSpPr>
        <xdr:cNvPr id="30" name="直線接點 29"/>
        <xdr:cNvCxnSpPr/>
      </xdr:nvCxnSpPr>
      <xdr:spPr>
        <a:xfrm>
          <a:off x="635" y="1866900"/>
          <a:ext cx="4914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11</xdr:row>
      <xdr:rowOff>0</xdr:rowOff>
    </xdr:from>
    <xdr:to>
      <xdr:col>7</xdr:col>
      <xdr:colOff>10160</xdr:colOff>
      <xdr:row>11</xdr:row>
      <xdr:rowOff>0</xdr:rowOff>
    </xdr:to>
    <xdr:cxnSp>
      <xdr:nvCxnSpPr>
        <xdr:cNvPr id="34" name="直線接點 33"/>
        <xdr:cNvCxnSpPr/>
      </xdr:nvCxnSpPr>
      <xdr:spPr>
        <a:xfrm>
          <a:off x="635" y="2933700"/>
          <a:ext cx="4914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6</xdr:row>
      <xdr:rowOff>0</xdr:rowOff>
    </xdr:from>
    <xdr:to>
      <xdr:col>6</xdr:col>
      <xdr:colOff>866140</xdr:colOff>
      <xdr:row>6</xdr:row>
      <xdr:rowOff>1</xdr:rowOff>
    </xdr:to>
    <xdr:cxnSp>
      <xdr:nvCxnSpPr>
        <xdr:cNvPr id="38" name="直線接點 37"/>
        <xdr:cNvCxnSpPr/>
      </xdr:nvCxnSpPr>
      <xdr:spPr>
        <a:xfrm>
          <a:off x="635" y="1600200"/>
          <a:ext cx="49041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563245</xdr:colOff>
      <xdr:row>17</xdr:row>
      <xdr:rowOff>104775</xdr:rowOff>
    </xdr:from>
    <xdr:to>
      <xdr:col>20</xdr:col>
      <xdr:colOff>677545</xdr:colOff>
      <xdr:row>17</xdr:row>
      <xdr:rowOff>104775</xdr:rowOff>
    </xdr:to>
    <xdr:cxnSp>
      <xdr:nvCxnSpPr>
        <xdr:cNvPr id="42" name="直線接點 41"/>
        <xdr:cNvCxnSpPr/>
      </xdr:nvCxnSpPr>
      <xdr:spPr>
        <a:xfrm>
          <a:off x="9583420" y="4638675"/>
          <a:ext cx="4914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"/>
  <sheetViews>
    <sheetView tabSelected="1" workbookViewId="0">
      <selection activeCell="A1" sqref="A1:G26"/>
    </sheetView>
  </sheetViews>
  <sheetFormatPr defaultColWidth="9" defaultRowHeight="16.5"/>
  <cols>
    <col min="1" max="1" width="10.375" customWidth="1"/>
    <col min="2" max="2" width="10.75" customWidth="1"/>
    <col min="3" max="3" width="7.125" customWidth="1"/>
    <col min="4" max="4" width="7.375" customWidth="1"/>
    <col min="5" max="5" width="8.375" customWidth="1"/>
    <col min="7" max="7" width="11.375" customWidth="1"/>
  </cols>
  <sheetData>
    <row r="1" ht="21" customHeight="1" spans="1:13">
      <c r="A1" t="s">
        <v>0</v>
      </c>
      <c r="C1" s="1" t="s">
        <v>1</v>
      </c>
      <c r="I1" t="s">
        <v>2</v>
      </c>
      <c r="L1" t="s">
        <v>3</v>
      </c>
    </row>
    <row r="2" ht="21" customHeight="1" spans="1:13">
      <c r="A2" t="s">
        <v>4</v>
      </c>
      <c r="B2" t="s">
        <v>5</v>
      </c>
      <c r="I2" t="s">
        <v>6</v>
      </c>
      <c r="L2" t="s">
        <v>2</v>
      </c>
      <c r="M2" s="2">
        <v>250</v>
      </c>
    </row>
    <row r="3" ht="21" customHeight="1" spans="1:1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L3" t="s">
        <v>6</v>
      </c>
      <c r="M3" s="2">
        <v>410</v>
      </c>
    </row>
    <row r="4" ht="21" customHeight="1" spans="1:13">
      <c r="A4" t="s">
        <v>14</v>
      </c>
      <c r="B4" t="s">
        <v>15</v>
      </c>
      <c r="C4">
        <v>7</v>
      </c>
      <c r="D4">
        <v>660</v>
      </c>
      <c r="F4">
        <f t="shared" ref="F4:F20" si="0">C4*D4</f>
        <v>4620</v>
      </c>
    </row>
    <row r="5" ht="21" customHeight="1" spans="1:13">
      <c r="B5" t="s">
        <v>16</v>
      </c>
      <c r="C5">
        <v>25</v>
      </c>
      <c r="D5">
        <v>410</v>
      </c>
      <c r="F5">
        <f t="shared" si="0"/>
        <v>10250</v>
      </c>
      <c r="I5" t="s">
        <v>16</v>
      </c>
    </row>
    <row r="6" ht="21" customHeight="1" spans="1:13">
      <c r="B6" t="s">
        <v>2</v>
      </c>
      <c r="C6">
        <v>63</v>
      </c>
      <c r="D6">
        <v>250</v>
      </c>
      <c r="F6">
        <f t="shared" si="0"/>
        <v>15750</v>
      </c>
      <c r="G6">
        <f>F4+F5+F6</f>
        <v>30620</v>
      </c>
      <c r="I6" t="s">
        <v>2</v>
      </c>
    </row>
    <row r="7" ht="21" customHeight="1" spans="1:13">
      <c r="A7" t="s">
        <v>17</v>
      </c>
      <c r="B7" t="s">
        <v>2</v>
      </c>
      <c r="C7">
        <v>10</v>
      </c>
      <c r="D7">
        <v>250</v>
      </c>
      <c r="F7">
        <f t="shared" si="0"/>
        <v>2500</v>
      </c>
      <c r="G7">
        <f>F7</f>
        <v>2500</v>
      </c>
    </row>
    <row r="8" ht="21" customHeight="1" spans="1:13">
      <c r="A8" t="s">
        <v>18</v>
      </c>
      <c r="B8" t="s">
        <v>15</v>
      </c>
      <c r="C8">
        <v>7</v>
      </c>
      <c r="D8">
        <v>660</v>
      </c>
      <c r="F8">
        <f t="shared" si="0"/>
        <v>4620</v>
      </c>
    </row>
    <row r="9" ht="21" customHeight="1" spans="1:13">
      <c r="B9" t="s">
        <v>16</v>
      </c>
      <c r="C9">
        <v>20</v>
      </c>
      <c r="D9">
        <v>410</v>
      </c>
      <c r="F9">
        <f t="shared" si="0"/>
        <v>8200</v>
      </c>
      <c r="G9">
        <f>F8+F9</f>
        <v>12820</v>
      </c>
    </row>
    <row r="10" ht="21" customHeight="1" spans="1:13">
      <c r="A10" t="s">
        <v>19</v>
      </c>
      <c r="B10" t="s">
        <v>6</v>
      </c>
      <c r="C10">
        <v>10</v>
      </c>
      <c r="D10">
        <v>250</v>
      </c>
      <c r="F10">
        <f t="shared" si="0"/>
        <v>2500</v>
      </c>
    </row>
    <row r="11" ht="21" customHeight="1" spans="1:13">
      <c r="B11" t="s">
        <v>2</v>
      </c>
      <c r="C11">
        <v>40</v>
      </c>
      <c r="D11">
        <v>250</v>
      </c>
      <c r="F11">
        <f t="shared" si="0"/>
        <v>10000</v>
      </c>
      <c r="G11">
        <f>F10+F11</f>
        <v>12500</v>
      </c>
    </row>
    <row r="12" ht="21" customHeight="1" spans="1:13">
      <c r="A12" t="s">
        <v>20</v>
      </c>
      <c r="B12" t="s">
        <v>2</v>
      </c>
      <c r="C12">
        <v>10</v>
      </c>
      <c r="D12">
        <v>250</v>
      </c>
      <c r="F12">
        <f t="shared" si="0"/>
        <v>2500</v>
      </c>
      <c r="G12">
        <f>F12</f>
        <v>2500</v>
      </c>
    </row>
    <row r="13" ht="21" customHeight="1" spans="1:13">
      <c r="A13" t="s">
        <v>21</v>
      </c>
      <c r="B13" t="s">
        <v>2</v>
      </c>
      <c r="C13">
        <v>70</v>
      </c>
      <c r="D13">
        <v>250</v>
      </c>
      <c r="F13">
        <f t="shared" si="0"/>
        <v>17500</v>
      </c>
    </row>
    <row r="14" ht="21" customHeight="1" spans="1:13">
      <c r="B14" t="s">
        <v>16</v>
      </c>
      <c r="C14">
        <v>10</v>
      </c>
      <c r="D14">
        <v>410</v>
      </c>
      <c r="F14">
        <f t="shared" si="0"/>
        <v>4100</v>
      </c>
    </row>
    <row r="15" ht="21" customHeight="1" spans="1:13">
      <c r="B15" t="s">
        <v>15</v>
      </c>
      <c r="C15">
        <v>5</v>
      </c>
      <c r="D15">
        <v>660</v>
      </c>
      <c r="F15">
        <f t="shared" si="0"/>
        <v>3300</v>
      </c>
      <c r="G15">
        <f>F13+F14+F15</f>
        <v>24900</v>
      </c>
    </row>
    <row r="16" ht="21" customHeight="1" spans="1:13">
      <c r="A16" t="s">
        <v>22</v>
      </c>
      <c r="B16" t="s">
        <v>2</v>
      </c>
      <c r="C16">
        <v>20</v>
      </c>
      <c r="D16">
        <v>250</v>
      </c>
      <c r="F16">
        <f>C16*D16</f>
        <v>5000</v>
      </c>
    </row>
    <row r="17" ht="21" customHeight="1" spans="1:16">
      <c r="B17" t="s">
        <v>16</v>
      </c>
      <c r="C17">
        <v>20</v>
      </c>
      <c r="D17">
        <v>410</v>
      </c>
      <c r="F17">
        <f>C17*D17</f>
        <v>8200</v>
      </c>
      <c r="G17">
        <f>F16+F17</f>
        <v>13200</v>
      </c>
    </row>
    <row r="18" ht="21" customHeight="1" spans="1:16">
      <c r="A18" t="s">
        <v>23</v>
      </c>
      <c r="B18" t="s">
        <v>15</v>
      </c>
      <c r="C18">
        <v>6</v>
      </c>
      <c r="D18">
        <v>660</v>
      </c>
      <c r="E18"/>
      <c r="F18">
        <f>C18*D18</f>
        <v>3960</v>
      </c>
    </row>
    <row r="19" ht="21" customHeight="1" spans="1:16">
      <c r="B19" t="s">
        <v>16</v>
      </c>
      <c r="C19">
        <v>20</v>
      </c>
      <c r="D19">
        <v>410</v>
      </c>
      <c r="E19"/>
      <c r="F19">
        <f>C19*D19</f>
        <v>8200</v>
      </c>
    </row>
    <row r="20" ht="21" customHeight="1" spans="1:16">
      <c r="B20" t="s">
        <v>2</v>
      </c>
      <c r="C20">
        <v>50</v>
      </c>
      <c r="D20">
        <v>250</v>
      </c>
      <c r="F20">
        <f>C20*D20</f>
        <v>12500</v>
      </c>
      <c r="G20">
        <f>F18+F19+F20</f>
        <v>24660</v>
      </c>
    </row>
    <row r="21" ht="21" customHeight="1" spans="1:16">
      <c r="F21" t="s">
        <v>24</v>
      </c>
      <c r="G21">
        <f>G6+G7+G9+G11+G12+G15+G17+G20</f>
        <v>123700</v>
      </c>
      <c r="P21" s="3"/>
    </row>
    <row r="22" ht="21" customHeight="1"/>
    <row r="23" ht="21" customHeight="1" spans="1:16">
      <c r="B23" t="s">
        <v>25</v>
      </c>
      <c r="C23" t="s">
        <v>26</v>
      </c>
      <c r="D23" t="s">
        <v>27</v>
      </c>
      <c r="E23" t="s">
        <v>28</v>
      </c>
      <c r="F23" s="2" t="s">
        <v>29</v>
      </c>
    </row>
    <row r="24" ht="21" customHeight="1" spans="1:16">
      <c r="B24">
        <f>C6+C7+C11+C12+C13+C16+C20</f>
        <v>263</v>
      </c>
      <c r="C24">
        <f>C10</f>
        <v>10</v>
      </c>
      <c r="D24">
        <f>C5+C9+C14+C17+C19</f>
        <v>95</v>
      </c>
      <c r="E24">
        <f>C4+C8+C15+C18</f>
        <v>25</v>
      </c>
    </row>
    <row r="25" ht="21" customHeight="1" spans="1:16">
      <c r="B25">
        <f>B24*D20</f>
        <v>65750</v>
      </c>
      <c r="C25">
        <f>C24*D20</f>
        <v>2500</v>
      </c>
      <c r="D25">
        <f>D24*D19</f>
        <v>38950</v>
      </c>
      <c r="E25">
        <f>E24*D18</f>
        <v>16500</v>
      </c>
      <c r="G25">
        <f>B25+C25+D25+E25</f>
        <v>123700</v>
      </c>
    </row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</sheetData>
  <pageMargins left="0.708661417322835" right="0.708661417322835" top="0.748031496062992" bottom="0.748031496062992" header="0.31496062992126" footer="0.31496062992126"/>
  <pageSetup paperSize="9" scale="130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范棋華</cp:lastModifiedBy>
  <dcterms:created xsi:type="dcterms:W3CDTF">2022-10-24T11:23:00Z</dcterms:created>
  <cp:lastPrinted>2025-11-26T04:43:00Z</cp:lastPrinted>
  <dcterms:modified xsi:type="dcterms:W3CDTF">2026-07-30T12:45:26Z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3076-12.1.0.26880</vt:lpwstr>
  </property>
  <property fmtid="{D5CDD505-2E9C-101B-9397-08002B2CF9AE}" pid="3" name="CalculationRule">
    <vt:i4>0</vt:i4>
  </property>
  <property fmtid="{D5CDD505-2E9C-101B-9397-08002B2CF9AE}" pid="4" name="ICV">
    <vt:lpwstr>DB9181FB761B4AFA9C4819A7C8A38B2B_12</vt:lpwstr>
  </property>
</Properties>
</file>