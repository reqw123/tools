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<sst xmlns="http://schemas.openxmlformats.org/spreadsheetml/2006/main" count="258" uniqueCount="86">
  <si>
    <t>客戶名稱</t>
  </si>
  <si>
    <t xml:space="preserve">  天  裕</t>
  </si>
  <si>
    <r>
      <rPr>
        <sz val="18"/>
        <color theme="1"/>
        <rFont val="新細明體"/>
        <charset val="136"/>
        <scheme val="minor"/>
      </rPr>
      <t xml:space="preserve">    </t>
    </r>
    <r>
      <rPr>
        <b/>
        <sz val="18"/>
        <color theme="1"/>
        <rFont val="新細明體"/>
        <charset val="136"/>
        <scheme val="minor"/>
      </rPr>
      <t>華  裕</t>
    </r>
  </si>
  <si>
    <t>簡  永  昌</t>
  </si>
  <si>
    <t>機器麵線</t>
  </si>
  <si>
    <t>對帳日期</t>
  </si>
  <si>
    <t>115.7.1~7.29</t>
  </si>
  <si>
    <t>115.5.12~6.10</t>
  </si>
  <si>
    <t>115.5.29~6.24</t>
  </si>
  <si>
    <t>手工麵線</t>
  </si>
  <si>
    <t>貨單日期</t>
  </si>
  <si>
    <t>貨單名稱</t>
  </si>
  <si>
    <t>數量</t>
  </si>
  <si>
    <t>單價</t>
  </si>
  <si>
    <r>
      <rPr>
        <sz val="12"/>
        <color theme="1"/>
        <rFont val="新細明體"/>
        <charset val="136"/>
        <scheme val="minor"/>
      </rPr>
      <t>退貨</t>
    </r>
    <r>
      <rPr>
        <sz val="12"/>
        <color rgb="FFFF0000"/>
        <rFont val="新細明體"/>
        <charset val="136"/>
        <scheme val="minor"/>
      </rPr>
      <t xml:space="preserve"> 元</t>
    </r>
  </si>
  <si>
    <t>合計</t>
  </si>
  <si>
    <t>總計金額</t>
  </si>
  <si>
    <r>
      <rPr>
        <sz val="12"/>
        <color rgb="FFFF0000"/>
        <rFont val="新細明體"/>
        <charset val="136"/>
        <scheme val="minor"/>
      </rPr>
      <t>退貨</t>
    </r>
    <r>
      <rPr>
        <sz val="12"/>
        <color theme="1"/>
        <rFont val="新細明體"/>
        <charset val="136"/>
        <scheme val="minor"/>
      </rPr>
      <t xml:space="preserve"> 元</t>
    </r>
  </si>
  <si>
    <t>退貨 元</t>
  </si>
  <si>
    <t>紅盤</t>
  </si>
  <si>
    <t>白麵線</t>
  </si>
  <si>
    <t>115.7.1</t>
  </si>
  <si>
    <t>115.5.12</t>
  </si>
  <si>
    <t>115.5.29</t>
  </si>
  <si>
    <t>薑母鴨</t>
  </si>
  <si>
    <t>115.6.12</t>
  </si>
  <si>
    <t>雞絲麵</t>
  </si>
  <si>
    <t>115.6.24</t>
  </si>
  <si>
    <t>115.7.17</t>
  </si>
  <si>
    <t>白箱</t>
  </si>
  <si>
    <t>115.6.10</t>
  </si>
  <si>
    <t>115.7.29</t>
  </si>
  <si>
    <t>高  農</t>
  </si>
  <si>
    <t>115.5.11~6.24</t>
  </si>
  <si>
    <t>總共3張</t>
  </si>
  <si>
    <t xml:space="preserve">     機</t>
  </si>
  <si>
    <t xml:space="preserve">      手</t>
  </si>
  <si>
    <t xml:space="preserve">   盤</t>
  </si>
  <si>
    <t xml:space="preserve">    鴨</t>
  </si>
  <si>
    <t xml:space="preserve">   退</t>
  </si>
  <si>
    <t>115.5.11</t>
  </si>
  <si>
    <t>總共6張</t>
  </si>
  <si>
    <t xml:space="preserve">    紅盤</t>
  </si>
  <si>
    <t xml:space="preserve">    手</t>
  </si>
  <si>
    <t xml:space="preserve">   機</t>
  </si>
  <si>
    <t xml:space="preserve">    雞</t>
  </si>
  <si>
    <t xml:space="preserve">     退</t>
  </si>
  <si>
    <t>115.6.3</t>
  </si>
  <si>
    <t>振  農</t>
  </si>
  <si>
    <t>合  盛</t>
  </si>
  <si>
    <t>115.6.5~6.17</t>
  </si>
  <si>
    <t>115.7.3~7.20</t>
  </si>
  <si>
    <t>115.7.3</t>
  </si>
  <si>
    <t>機長麵線</t>
  </si>
  <si>
    <t>115.7.15</t>
  </si>
  <si>
    <t>115.7.20</t>
  </si>
  <si>
    <t xml:space="preserve">   和   益</t>
  </si>
  <si>
    <t xml:space="preserve">     白箱</t>
  </si>
  <si>
    <t xml:space="preserve">        白</t>
  </si>
  <si>
    <t xml:space="preserve">    機</t>
  </si>
  <si>
    <t>115.5.4~6.26</t>
  </si>
  <si>
    <t>115.5.4</t>
  </si>
  <si>
    <t>115.5.13</t>
  </si>
  <si>
    <t>115.5.25</t>
  </si>
  <si>
    <r>
      <rPr>
        <b/>
        <sz val="18"/>
        <color theme="1"/>
        <rFont val="Microsoft JhengHei UI"/>
        <charset val="134"/>
      </rPr>
      <t>安</t>
    </r>
    <r>
      <rPr>
        <b/>
        <sz val="18"/>
        <color theme="1"/>
        <rFont val="Microsoft JhengHei UI"/>
        <charset val="136"/>
      </rPr>
      <t xml:space="preserve">  </t>
    </r>
    <r>
      <rPr>
        <b/>
        <sz val="18"/>
        <color theme="1"/>
        <rFont val="新細明體"/>
        <charset val="136"/>
        <scheme val="minor"/>
      </rPr>
      <t>食  達</t>
    </r>
  </si>
  <si>
    <t xml:space="preserve">機器麵線 </t>
  </si>
  <si>
    <t>115.6.26~7.17</t>
  </si>
  <si>
    <t>115.6.26</t>
  </si>
  <si>
    <t>總共5張</t>
  </si>
  <si>
    <t>總共4張</t>
  </si>
  <si>
    <t xml:space="preserve">       手</t>
  </si>
  <si>
    <t xml:space="preserve">  機</t>
  </si>
  <si>
    <t xml:space="preserve">   雞</t>
  </si>
  <si>
    <t xml:space="preserve"> 新 隆 發</t>
  </si>
  <si>
    <t>115.7.10~7.31</t>
  </si>
  <si>
    <t>興    龍</t>
  </si>
  <si>
    <t>115.7.1~7.22</t>
  </si>
  <si>
    <t>115.7.10</t>
  </si>
  <si>
    <t>115.7.27</t>
  </si>
  <si>
    <t xml:space="preserve">        雞</t>
  </si>
  <si>
    <t xml:space="preserve">  金額</t>
  </si>
  <si>
    <t xml:space="preserve">   含稅</t>
  </si>
  <si>
    <t>總金額</t>
  </si>
  <si>
    <t>115.7.31</t>
  </si>
  <si>
    <t>115.7.22</t>
  </si>
  <si>
    <t>總共2張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</si>
</sst>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8">
    <font>
      <sz val="12"/>
      <color theme="1"/>
      <name val="新細明體"/>
      <charset val="136"/>
      <scheme val="minor"/>
    </font>
    <font>
      <b/>
      <sz val="18"/>
      <color theme="1"/>
      <name val="新細明體"/>
      <charset val="136"/>
      <scheme val="minor"/>
    </font>
    <font>
      <sz val="18"/>
      <color theme="1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12"/>
      <color rgb="FFC00000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8"/>
      <color theme="1"/>
      <name val="Microsoft JhengHei UI"/>
      <charset val="134"/>
    </font>
    <font>
      <b/>
      <sz val="18"/>
      <color theme="1"/>
      <name val="Microsoft JhengHei UI"/>
      <charset val="136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9" fontId="0" fillId="0" borderId="0" xfId="0" applyNumberForma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0</xdr:rowOff>
    </xdr:from>
    <xdr:to>
      <xdr:col>7</xdr:col>
      <xdr:colOff>19685</xdr:colOff>
      <xdr:row>6</xdr:row>
      <xdr:rowOff>0</xdr:rowOff>
    </xdr:to>
    <xdr:cxnSp>
      <xdr:nvCxnSpPr>
        <xdr:cNvPr id="5" name="直線接點 4"/>
        <xdr:cNvCxnSpPr/>
      </xdr:nvCxnSpPr>
      <xdr:spPr>
        <a:xfrm>
          <a:off x="635" y="1600200"/>
          <a:ext cx="492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228600</xdr:colOff>
      <xdr:row>50</xdr:row>
      <xdr:rowOff>209550</xdr:rowOff>
    </xdr:from>
    <xdr:to>
      <xdr:col>30</xdr:col>
      <xdr:colOff>866775</xdr:colOff>
      <xdr:row>50</xdr:row>
      <xdr:rowOff>209550</xdr:rowOff>
    </xdr:to>
    <xdr:cxnSp>
      <xdr:nvCxnSpPr>
        <xdr:cNvPr id="6" name="直線接點 5"/>
        <xdr:cNvCxnSpPr/>
      </xdr:nvCxnSpPr>
      <xdr:spPr>
        <a:xfrm>
          <a:off x="15249525" y="13544550"/>
          <a:ext cx="4610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3</xdr:row>
      <xdr:rowOff>0</xdr:rowOff>
    </xdr:from>
    <xdr:to>
      <xdr:col>15</xdr:col>
      <xdr:colOff>0</xdr:colOff>
      <xdr:row>3</xdr:row>
      <xdr:rowOff>0</xdr:rowOff>
    </xdr:to>
    <xdr:cxnSp>
      <xdr:nvCxnSpPr>
        <xdr:cNvPr id="9" name="直線接點 8"/>
        <xdr:cNvCxnSpPr/>
      </xdr:nvCxnSpPr>
      <xdr:spPr>
        <a:xfrm>
          <a:off x="5067300" y="800100"/>
          <a:ext cx="4867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771525</xdr:colOff>
      <xdr:row>15</xdr:row>
      <xdr:rowOff>123825</xdr:rowOff>
    </xdr:from>
    <xdr:to>
      <xdr:col>30</xdr:col>
      <xdr:colOff>866775</xdr:colOff>
      <xdr:row>15</xdr:row>
      <xdr:rowOff>123825</xdr:rowOff>
    </xdr:to>
    <xdr:cxnSp>
      <xdr:nvCxnSpPr>
        <xdr:cNvPr id="12" name="直線接點 11"/>
        <xdr:cNvCxnSpPr/>
      </xdr:nvCxnSpPr>
      <xdr:spPr>
        <a:xfrm>
          <a:off x="16583025" y="4124325"/>
          <a:ext cx="3276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</xdr:colOff>
      <xdr:row>19</xdr:row>
      <xdr:rowOff>0</xdr:rowOff>
    </xdr:from>
    <xdr:to>
      <xdr:col>14</xdr:col>
      <xdr:colOff>848360</xdr:colOff>
      <xdr:row>19</xdr:row>
      <xdr:rowOff>0</xdr:rowOff>
    </xdr:to>
    <xdr:cxnSp>
      <xdr:nvCxnSpPr>
        <xdr:cNvPr id="16" name="直線接點 15"/>
        <xdr:cNvCxnSpPr/>
      </xdr:nvCxnSpPr>
      <xdr:spPr>
        <a:xfrm>
          <a:off x="5029835" y="5067300"/>
          <a:ext cx="4886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58420</xdr:colOff>
      <xdr:row>9</xdr:row>
      <xdr:rowOff>238125</xdr:rowOff>
    </xdr:from>
    <xdr:to>
      <xdr:col>30</xdr:col>
      <xdr:colOff>866775</xdr:colOff>
      <xdr:row>9</xdr:row>
      <xdr:rowOff>238125</xdr:rowOff>
    </xdr:to>
    <xdr:cxnSp>
      <xdr:nvCxnSpPr>
        <xdr:cNvPr id="24" name="直線接點 23"/>
        <xdr:cNvCxnSpPr/>
      </xdr:nvCxnSpPr>
      <xdr:spPr>
        <a:xfrm>
          <a:off x="16689070" y="2638425"/>
          <a:ext cx="31705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10795</xdr:colOff>
      <xdr:row>16</xdr:row>
      <xdr:rowOff>0</xdr:rowOff>
    </xdr:from>
    <xdr:to>
      <xdr:col>23</xdr:col>
      <xdr:colOff>20320</xdr:colOff>
      <xdr:row>16</xdr:row>
      <xdr:rowOff>0</xdr:rowOff>
    </xdr:to>
    <xdr:cxnSp>
      <xdr:nvCxnSpPr>
        <xdr:cNvPr id="28" name="直線接點 27"/>
        <xdr:cNvCxnSpPr/>
      </xdr:nvCxnSpPr>
      <xdr:spPr>
        <a:xfrm>
          <a:off x="10069195" y="4267200"/>
          <a:ext cx="484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10</xdr:row>
      <xdr:rowOff>0</xdr:rowOff>
    </xdr:from>
    <xdr:to>
      <xdr:col>6</xdr:col>
      <xdr:colOff>848360</xdr:colOff>
      <xdr:row>10</xdr:row>
      <xdr:rowOff>0</xdr:rowOff>
    </xdr:to>
    <xdr:cxnSp>
      <xdr:nvCxnSpPr>
        <xdr:cNvPr id="32" name="直線接點 31"/>
        <xdr:cNvCxnSpPr/>
      </xdr:nvCxnSpPr>
      <xdr:spPr>
        <a:xfrm>
          <a:off x="635" y="2667000"/>
          <a:ext cx="4886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295275</xdr:colOff>
      <xdr:row>7</xdr:row>
      <xdr:rowOff>123825</xdr:rowOff>
    </xdr:from>
    <xdr:to>
      <xdr:col>30</xdr:col>
      <xdr:colOff>866775</xdr:colOff>
      <xdr:row>7</xdr:row>
      <xdr:rowOff>123825</xdr:rowOff>
    </xdr:to>
    <xdr:cxnSp>
      <xdr:nvCxnSpPr>
        <xdr:cNvPr id="35" name="直線接點 34"/>
        <xdr:cNvCxnSpPr/>
      </xdr:nvCxnSpPr>
      <xdr:spPr>
        <a:xfrm>
          <a:off x="16925925" y="1990725"/>
          <a:ext cx="2933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857250</xdr:colOff>
      <xdr:row>47</xdr:row>
      <xdr:rowOff>0</xdr:rowOff>
    </xdr:to>
    <xdr:cxnSp>
      <xdr:nvCxnSpPr>
        <xdr:cNvPr id="37" name="直線接點 36"/>
        <xdr:cNvCxnSpPr/>
      </xdr:nvCxnSpPr>
      <xdr:spPr>
        <a:xfrm>
          <a:off x="5029200" y="12534900"/>
          <a:ext cx="489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24</xdr:row>
      <xdr:rowOff>0</xdr:rowOff>
    </xdr:from>
    <xdr:to>
      <xdr:col>6</xdr:col>
      <xdr:colOff>829310</xdr:colOff>
      <xdr:row>24</xdr:row>
      <xdr:rowOff>0</xdr:rowOff>
    </xdr:to>
    <xdr:cxnSp>
      <xdr:nvCxnSpPr>
        <xdr:cNvPr id="38" name="直線接點 37"/>
        <xdr:cNvCxnSpPr/>
      </xdr:nvCxnSpPr>
      <xdr:spPr>
        <a:xfrm>
          <a:off x="635" y="6400800"/>
          <a:ext cx="4867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857250</xdr:colOff>
      <xdr:row>2</xdr:row>
      <xdr:rowOff>0</xdr:rowOff>
    </xdr:to>
    <xdr:cxnSp>
      <xdr:nvCxnSpPr>
        <xdr:cNvPr id="39" name="直線接點 38"/>
        <xdr:cNvCxnSpPr/>
      </xdr:nvCxnSpPr>
      <xdr:spPr>
        <a:xfrm>
          <a:off x="10058400" y="533400"/>
          <a:ext cx="4829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28</xdr:row>
      <xdr:rowOff>0</xdr:rowOff>
    </xdr:from>
    <xdr:to>
      <xdr:col>6</xdr:col>
      <xdr:colOff>857250</xdr:colOff>
      <xdr:row>28</xdr:row>
      <xdr:rowOff>0</xdr:rowOff>
    </xdr:to>
    <xdr:cxnSp>
      <xdr:nvCxnSpPr>
        <xdr:cNvPr id="40" name="直線接點 39"/>
        <xdr:cNvCxnSpPr/>
      </xdr:nvCxnSpPr>
      <xdr:spPr>
        <a:xfrm>
          <a:off x="66675" y="7467600"/>
          <a:ext cx="4829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21</xdr:row>
      <xdr:rowOff>0</xdr:rowOff>
    </xdr:from>
    <xdr:to>
      <xdr:col>6</xdr:col>
      <xdr:colOff>847725</xdr:colOff>
      <xdr:row>21</xdr:row>
      <xdr:rowOff>0</xdr:rowOff>
    </xdr:to>
    <xdr:cxnSp>
      <xdr:nvCxnSpPr>
        <xdr:cNvPr id="42" name="直線接點 41"/>
        <xdr:cNvCxnSpPr/>
      </xdr:nvCxnSpPr>
      <xdr:spPr>
        <a:xfrm>
          <a:off x="19050" y="5600700"/>
          <a:ext cx="4867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34</xdr:row>
      <xdr:rowOff>0</xdr:rowOff>
    </xdr:from>
    <xdr:to>
      <xdr:col>6</xdr:col>
      <xdr:colOff>857885</xdr:colOff>
      <xdr:row>34</xdr:row>
      <xdr:rowOff>0</xdr:rowOff>
    </xdr:to>
    <xdr:cxnSp>
      <xdr:nvCxnSpPr>
        <xdr:cNvPr id="47" name="直線接點 46"/>
        <xdr:cNvCxnSpPr/>
      </xdr:nvCxnSpPr>
      <xdr:spPr>
        <a:xfrm>
          <a:off x="635" y="9067800"/>
          <a:ext cx="489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41</xdr:row>
      <xdr:rowOff>0</xdr:rowOff>
    </xdr:from>
    <xdr:to>
      <xdr:col>6</xdr:col>
      <xdr:colOff>847725</xdr:colOff>
      <xdr:row>41</xdr:row>
      <xdr:rowOff>0</xdr:rowOff>
    </xdr:to>
    <xdr:cxnSp>
      <xdr:nvCxnSpPr>
        <xdr:cNvPr id="53" name="直線接點 52"/>
        <xdr:cNvCxnSpPr/>
      </xdr:nvCxnSpPr>
      <xdr:spPr>
        <a:xfrm>
          <a:off x="9525" y="10934700"/>
          <a:ext cx="487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3</xdr:row>
      <xdr:rowOff>0</xdr:rowOff>
    </xdr:from>
    <xdr:to>
      <xdr:col>7</xdr:col>
      <xdr:colOff>9525</xdr:colOff>
      <xdr:row>3</xdr:row>
      <xdr:rowOff>0</xdr:rowOff>
    </xdr:to>
    <xdr:cxnSp>
      <xdr:nvCxnSpPr>
        <xdr:cNvPr id="56" name="直線接點 55"/>
        <xdr:cNvCxnSpPr/>
      </xdr:nvCxnSpPr>
      <xdr:spPr>
        <a:xfrm>
          <a:off x="19050" y="800100"/>
          <a:ext cx="489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34</xdr:row>
      <xdr:rowOff>0</xdr:rowOff>
    </xdr:from>
    <xdr:to>
      <xdr:col>22</xdr:col>
      <xdr:colOff>857250</xdr:colOff>
      <xdr:row>34</xdr:row>
      <xdr:rowOff>0</xdr:rowOff>
    </xdr:to>
    <xdr:cxnSp>
      <xdr:nvCxnSpPr>
        <xdr:cNvPr id="61" name="直線接點 60"/>
        <xdr:cNvCxnSpPr/>
      </xdr:nvCxnSpPr>
      <xdr:spPr>
        <a:xfrm>
          <a:off x="10067925" y="9067800"/>
          <a:ext cx="4819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10160</xdr:colOff>
      <xdr:row>23</xdr:row>
      <xdr:rowOff>0</xdr:rowOff>
    </xdr:from>
    <xdr:to>
      <xdr:col>14</xdr:col>
      <xdr:colOff>848360</xdr:colOff>
      <xdr:row>23</xdr:row>
      <xdr:rowOff>0</xdr:rowOff>
    </xdr:to>
    <xdr:cxnSp>
      <xdr:nvCxnSpPr>
        <xdr:cNvPr id="65" name="直線接點 64"/>
        <xdr:cNvCxnSpPr/>
      </xdr:nvCxnSpPr>
      <xdr:spPr>
        <a:xfrm>
          <a:off x="5039360" y="6134100"/>
          <a:ext cx="487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106045</xdr:colOff>
      <xdr:row>39</xdr:row>
      <xdr:rowOff>0</xdr:rowOff>
    </xdr:from>
    <xdr:to>
      <xdr:col>23</xdr:col>
      <xdr:colOff>20320</xdr:colOff>
      <xdr:row>39</xdr:row>
      <xdr:rowOff>0</xdr:rowOff>
    </xdr:to>
    <xdr:cxnSp>
      <xdr:nvCxnSpPr>
        <xdr:cNvPr id="3" name="直線接點 2"/>
        <xdr:cNvCxnSpPr/>
      </xdr:nvCxnSpPr>
      <xdr:spPr>
        <a:xfrm>
          <a:off x="10040620" y="10401300"/>
          <a:ext cx="487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247650</xdr:colOff>
      <xdr:row>51</xdr:row>
      <xdr:rowOff>66675</xdr:rowOff>
    </xdr:from>
    <xdr:to>
      <xdr:col>30</xdr:col>
      <xdr:colOff>866775</xdr:colOff>
      <xdr:row>51</xdr:row>
      <xdr:rowOff>66675</xdr:rowOff>
    </xdr:to>
    <xdr:cxnSp>
      <xdr:nvCxnSpPr>
        <xdr:cNvPr id="11" name="直線接點 10"/>
        <xdr:cNvCxnSpPr/>
      </xdr:nvCxnSpPr>
      <xdr:spPr>
        <a:xfrm>
          <a:off x="15268575" y="13668375"/>
          <a:ext cx="4591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</xdr:colOff>
      <xdr:row>22</xdr:row>
      <xdr:rowOff>123825</xdr:rowOff>
    </xdr:from>
    <xdr:to>
      <xdr:col>30</xdr:col>
      <xdr:colOff>866775</xdr:colOff>
      <xdr:row>22</xdr:row>
      <xdr:rowOff>123825</xdr:rowOff>
    </xdr:to>
    <xdr:cxnSp>
      <xdr:nvCxnSpPr>
        <xdr:cNvPr id="17" name="直線接點 16"/>
        <xdr:cNvCxnSpPr/>
      </xdr:nvCxnSpPr>
      <xdr:spPr>
        <a:xfrm>
          <a:off x="16649700" y="5991225"/>
          <a:ext cx="3209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47</xdr:row>
      <xdr:rowOff>0</xdr:rowOff>
    </xdr:from>
    <xdr:to>
      <xdr:col>6</xdr:col>
      <xdr:colOff>838200</xdr:colOff>
      <xdr:row>47</xdr:row>
      <xdr:rowOff>0</xdr:rowOff>
    </xdr:to>
    <xdr:cxnSp>
      <xdr:nvCxnSpPr>
        <xdr:cNvPr id="4" name="直線接點 3"/>
        <xdr:cNvCxnSpPr/>
      </xdr:nvCxnSpPr>
      <xdr:spPr>
        <a:xfrm>
          <a:off x="1270" y="12534900"/>
          <a:ext cx="48755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257175</xdr:colOff>
      <xdr:row>50</xdr:row>
      <xdr:rowOff>66675</xdr:rowOff>
    </xdr:from>
    <xdr:to>
      <xdr:col>30</xdr:col>
      <xdr:colOff>866775</xdr:colOff>
      <xdr:row>50</xdr:row>
      <xdr:rowOff>66675</xdr:rowOff>
    </xdr:to>
    <xdr:cxnSp>
      <xdr:nvCxnSpPr>
        <xdr:cNvPr id="19" name="直線接點 18"/>
        <xdr:cNvCxnSpPr/>
      </xdr:nvCxnSpPr>
      <xdr:spPr>
        <a:xfrm>
          <a:off x="15278100" y="13401675"/>
          <a:ext cx="4581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14</xdr:col>
      <xdr:colOff>838200</xdr:colOff>
      <xdr:row>11</xdr:row>
      <xdr:rowOff>0</xdr:rowOff>
    </xdr:to>
    <xdr:cxnSp>
      <xdr:nvCxnSpPr>
        <xdr:cNvPr id="25" name="直線接點 24"/>
        <xdr:cNvCxnSpPr/>
      </xdr:nvCxnSpPr>
      <xdr:spPr>
        <a:xfrm>
          <a:off x="5029200" y="2933700"/>
          <a:ext cx="487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381000</xdr:colOff>
      <xdr:row>34</xdr:row>
      <xdr:rowOff>95250</xdr:rowOff>
    </xdr:from>
    <xdr:to>
      <xdr:col>30</xdr:col>
      <xdr:colOff>866775</xdr:colOff>
      <xdr:row>34</xdr:row>
      <xdr:rowOff>104775</xdr:rowOff>
    </xdr:to>
    <xdr:cxnSp>
      <xdr:nvCxnSpPr>
        <xdr:cNvPr id="34" name="直線接點 33"/>
        <xdr:cNvCxnSpPr/>
      </xdr:nvCxnSpPr>
      <xdr:spPr>
        <a:xfrm>
          <a:off x="19373850" y="9163050"/>
          <a:ext cx="4857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0</xdr:rowOff>
    </xdr:from>
    <xdr:to>
      <xdr:col>14</xdr:col>
      <xdr:colOff>800100</xdr:colOff>
      <xdr:row>8</xdr:row>
      <xdr:rowOff>0</xdr:rowOff>
    </xdr:to>
    <xdr:cxnSp>
      <xdr:nvCxnSpPr>
        <xdr:cNvPr id="48" name="直線接點 47"/>
        <xdr:cNvCxnSpPr/>
      </xdr:nvCxnSpPr>
      <xdr:spPr>
        <a:xfrm>
          <a:off x="5029200" y="2133600"/>
          <a:ext cx="483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44</xdr:row>
      <xdr:rowOff>0</xdr:rowOff>
    </xdr:from>
    <xdr:to>
      <xdr:col>6</xdr:col>
      <xdr:colOff>848360</xdr:colOff>
      <xdr:row>44</xdr:row>
      <xdr:rowOff>0</xdr:rowOff>
    </xdr:to>
    <xdr:cxnSp>
      <xdr:nvCxnSpPr>
        <xdr:cNvPr id="49" name="直線接點 48"/>
        <xdr:cNvCxnSpPr/>
      </xdr:nvCxnSpPr>
      <xdr:spPr>
        <a:xfrm>
          <a:off x="635" y="11734800"/>
          <a:ext cx="4886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6</xdr:row>
      <xdr:rowOff>0</xdr:rowOff>
    </xdr:to>
    <xdr:cxnSp>
      <xdr:nvCxnSpPr>
        <xdr:cNvPr id="50" name="直線接點 49"/>
        <xdr:cNvCxnSpPr/>
      </xdr:nvCxnSpPr>
      <xdr:spPr>
        <a:xfrm>
          <a:off x="10058400" y="1600200"/>
          <a:ext cx="483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24</xdr:row>
      <xdr:rowOff>0</xdr:rowOff>
    </xdr:from>
    <xdr:to>
      <xdr:col>22</xdr:col>
      <xdr:colOff>857250</xdr:colOff>
      <xdr:row>24</xdr:row>
      <xdr:rowOff>0</xdr:rowOff>
    </xdr:to>
    <xdr:cxnSp>
      <xdr:nvCxnSpPr>
        <xdr:cNvPr id="51" name="直線接點 50"/>
        <xdr:cNvCxnSpPr/>
      </xdr:nvCxnSpPr>
      <xdr:spPr>
        <a:xfrm>
          <a:off x="10048875" y="6400800"/>
          <a:ext cx="483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247650</xdr:colOff>
      <xdr:row>20</xdr:row>
      <xdr:rowOff>66675</xdr:rowOff>
    </xdr:from>
    <xdr:to>
      <xdr:col>30</xdr:col>
      <xdr:colOff>866775</xdr:colOff>
      <xdr:row>20</xdr:row>
      <xdr:rowOff>66675</xdr:rowOff>
    </xdr:to>
    <xdr:cxnSp>
      <xdr:nvCxnSpPr>
        <xdr:cNvPr id="52" name="直線接點 51"/>
        <xdr:cNvCxnSpPr/>
      </xdr:nvCxnSpPr>
      <xdr:spPr>
        <a:xfrm>
          <a:off x="17421225" y="5400675"/>
          <a:ext cx="2438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3</xdr:row>
      <xdr:rowOff>0</xdr:rowOff>
    </xdr:from>
    <xdr:to>
      <xdr:col>22</xdr:col>
      <xdr:colOff>847725</xdr:colOff>
      <xdr:row>3</xdr:row>
      <xdr:rowOff>0</xdr:rowOff>
    </xdr:to>
    <xdr:cxnSp>
      <xdr:nvCxnSpPr>
        <xdr:cNvPr id="55" name="直線接點 54"/>
        <xdr:cNvCxnSpPr/>
      </xdr:nvCxnSpPr>
      <xdr:spPr>
        <a:xfrm>
          <a:off x="10067925" y="800100"/>
          <a:ext cx="481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6</xdr:row>
      <xdr:rowOff>0</xdr:rowOff>
    </xdr:from>
    <xdr:to>
      <xdr:col>14</xdr:col>
      <xdr:colOff>800100</xdr:colOff>
      <xdr:row>6</xdr:row>
      <xdr:rowOff>0</xdr:rowOff>
    </xdr:to>
    <xdr:cxnSp>
      <xdr:nvCxnSpPr>
        <xdr:cNvPr id="60" name="直線接點 59"/>
        <xdr:cNvCxnSpPr/>
      </xdr:nvCxnSpPr>
      <xdr:spPr>
        <a:xfrm>
          <a:off x="5038725" y="1600200"/>
          <a:ext cx="4829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21</xdr:row>
      <xdr:rowOff>0</xdr:rowOff>
    </xdr:from>
    <xdr:to>
      <xdr:col>23</xdr:col>
      <xdr:colOff>9525</xdr:colOff>
      <xdr:row>21</xdr:row>
      <xdr:rowOff>0</xdr:rowOff>
    </xdr:to>
    <xdr:cxnSp>
      <xdr:nvCxnSpPr>
        <xdr:cNvPr id="63" name="直線接點 62"/>
        <xdr:cNvCxnSpPr/>
      </xdr:nvCxnSpPr>
      <xdr:spPr>
        <a:xfrm>
          <a:off x="10086975" y="5600700"/>
          <a:ext cx="4819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704850</xdr:colOff>
      <xdr:row>26</xdr:row>
      <xdr:rowOff>0</xdr:rowOff>
    </xdr:from>
    <xdr:to>
      <xdr:col>30</xdr:col>
      <xdr:colOff>866775</xdr:colOff>
      <xdr:row>26</xdr:row>
      <xdr:rowOff>0</xdr:rowOff>
    </xdr:to>
    <xdr:cxnSp>
      <xdr:nvCxnSpPr>
        <xdr:cNvPr id="66" name="直線接點 65"/>
        <xdr:cNvCxnSpPr/>
      </xdr:nvCxnSpPr>
      <xdr:spPr>
        <a:xfrm>
          <a:off x="15725775" y="6934200"/>
          <a:ext cx="413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</xdr:colOff>
      <xdr:row>12</xdr:row>
      <xdr:rowOff>0</xdr:rowOff>
    </xdr:from>
    <xdr:to>
      <xdr:col>6</xdr:col>
      <xdr:colOff>819150</xdr:colOff>
      <xdr:row>12</xdr:row>
      <xdr:rowOff>9525</xdr:rowOff>
    </xdr:to>
    <xdr:cxnSp>
      <xdr:nvCxnSpPr>
        <xdr:cNvPr id="75" name="直線接點 74"/>
        <xdr:cNvCxnSpPr/>
      </xdr:nvCxnSpPr>
      <xdr:spPr>
        <a:xfrm>
          <a:off x="1905" y="3200400"/>
          <a:ext cx="485584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86995</xdr:colOff>
      <xdr:row>9</xdr:row>
      <xdr:rowOff>0</xdr:rowOff>
    </xdr:from>
    <xdr:to>
      <xdr:col>30</xdr:col>
      <xdr:colOff>866775</xdr:colOff>
      <xdr:row>9</xdr:row>
      <xdr:rowOff>0</xdr:rowOff>
    </xdr:to>
    <xdr:cxnSp>
      <xdr:nvCxnSpPr>
        <xdr:cNvPr id="7" name="直線接點 6"/>
        <xdr:cNvCxnSpPr/>
      </xdr:nvCxnSpPr>
      <xdr:spPr>
        <a:xfrm>
          <a:off x="16717645" y="2400300"/>
          <a:ext cx="31419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36</xdr:row>
      <xdr:rowOff>0</xdr:rowOff>
    </xdr:from>
    <xdr:to>
      <xdr:col>23</xdr:col>
      <xdr:colOff>9525</xdr:colOff>
      <xdr:row>36</xdr:row>
      <xdr:rowOff>0</xdr:rowOff>
    </xdr:to>
    <xdr:cxnSp>
      <xdr:nvCxnSpPr>
        <xdr:cNvPr id="15" name="直線接點 14"/>
        <xdr:cNvCxnSpPr/>
      </xdr:nvCxnSpPr>
      <xdr:spPr>
        <a:xfrm>
          <a:off x="10058400" y="9601200"/>
          <a:ext cx="484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104775</xdr:colOff>
      <xdr:row>37</xdr:row>
      <xdr:rowOff>9525</xdr:rowOff>
    </xdr:from>
    <xdr:to>
      <xdr:col>23</xdr:col>
      <xdr:colOff>38100</xdr:colOff>
      <xdr:row>37</xdr:row>
      <xdr:rowOff>9525</xdr:rowOff>
    </xdr:to>
    <xdr:cxnSp>
      <xdr:nvCxnSpPr>
        <xdr:cNvPr id="22" name="直線接點 21"/>
        <xdr:cNvCxnSpPr/>
      </xdr:nvCxnSpPr>
      <xdr:spPr>
        <a:xfrm>
          <a:off x="10163175" y="9877425"/>
          <a:ext cx="4772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</xdr:colOff>
      <xdr:row>7</xdr:row>
      <xdr:rowOff>0</xdr:rowOff>
    </xdr:from>
    <xdr:to>
      <xdr:col>14</xdr:col>
      <xdr:colOff>782320</xdr:colOff>
      <xdr:row>7</xdr:row>
      <xdr:rowOff>0</xdr:rowOff>
    </xdr:to>
    <xdr:cxnSp>
      <xdr:nvCxnSpPr>
        <xdr:cNvPr id="20" name="直線接點 19"/>
        <xdr:cNvCxnSpPr/>
      </xdr:nvCxnSpPr>
      <xdr:spPr>
        <a:xfrm>
          <a:off x="5030470" y="1866900"/>
          <a:ext cx="4819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22</xdr:col>
      <xdr:colOff>857250</xdr:colOff>
      <xdr:row>12</xdr:row>
      <xdr:rowOff>0</xdr:rowOff>
    </xdr:to>
    <xdr:cxnSp>
      <xdr:nvCxnSpPr>
        <xdr:cNvPr id="21" name="直線接點 20"/>
        <xdr:cNvCxnSpPr/>
      </xdr:nvCxnSpPr>
      <xdr:spPr>
        <a:xfrm>
          <a:off x="10058400" y="3200400"/>
          <a:ext cx="4829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50</xdr:row>
      <xdr:rowOff>0</xdr:rowOff>
    </xdr:from>
    <xdr:to>
      <xdr:col>14</xdr:col>
      <xdr:colOff>838200</xdr:colOff>
      <xdr:row>50</xdr:row>
      <xdr:rowOff>0</xdr:rowOff>
    </xdr:to>
    <xdr:cxnSp>
      <xdr:nvCxnSpPr>
        <xdr:cNvPr id="26" name="直線接點 25"/>
        <xdr:cNvCxnSpPr/>
      </xdr:nvCxnSpPr>
      <xdr:spPr>
        <a:xfrm>
          <a:off x="5038725" y="13335000"/>
          <a:ext cx="4867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248285</xdr:colOff>
      <xdr:row>51</xdr:row>
      <xdr:rowOff>257175</xdr:rowOff>
    </xdr:from>
    <xdr:to>
      <xdr:col>30</xdr:col>
      <xdr:colOff>866775</xdr:colOff>
      <xdr:row>51</xdr:row>
      <xdr:rowOff>257175</xdr:rowOff>
    </xdr:to>
    <xdr:cxnSp>
      <xdr:nvCxnSpPr>
        <xdr:cNvPr id="27" name="直線接點 26"/>
        <xdr:cNvCxnSpPr/>
      </xdr:nvCxnSpPr>
      <xdr:spPr>
        <a:xfrm>
          <a:off x="15269210" y="13858875"/>
          <a:ext cx="45904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10160</xdr:colOff>
      <xdr:row>35</xdr:row>
      <xdr:rowOff>0</xdr:rowOff>
    </xdr:from>
    <xdr:to>
      <xdr:col>22</xdr:col>
      <xdr:colOff>838835</xdr:colOff>
      <xdr:row>35</xdr:row>
      <xdr:rowOff>0</xdr:rowOff>
    </xdr:to>
    <xdr:cxnSp>
      <xdr:nvCxnSpPr>
        <xdr:cNvPr id="2" name="直線連接符 1"/>
        <xdr:cNvCxnSpPr/>
      </xdr:nvCxnSpPr>
      <xdr:spPr>
        <a:xfrm>
          <a:off x="10068560" y="9334500"/>
          <a:ext cx="480060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49</xdr:row>
      <xdr:rowOff>0</xdr:rowOff>
    </xdr:from>
    <xdr:to>
      <xdr:col>14</xdr:col>
      <xdr:colOff>819150</xdr:colOff>
      <xdr:row>49</xdr:row>
      <xdr:rowOff>0</xdr:rowOff>
    </xdr:to>
    <xdr:cxnSp>
      <xdr:nvCxnSpPr>
        <xdr:cNvPr id="8" name="直線連接符 7"/>
        <xdr:cNvCxnSpPr/>
      </xdr:nvCxnSpPr>
      <xdr:spPr>
        <a:xfrm>
          <a:off x="5067300" y="13068300"/>
          <a:ext cx="481965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</xdr:colOff>
      <xdr:row>51</xdr:row>
      <xdr:rowOff>0</xdr:rowOff>
    </xdr:from>
    <xdr:to>
      <xdr:col>14</xdr:col>
      <xdr:colOff>848360</xdr:colOff>
      <xdr:row>51</xdr:row>
      <xdr:rowOff>0</xdr:rowOff>
    </xdr:to>
    <xdr:cxnSp>
      <xdr:nvCxnSpPr>
        <xdr:cNvPr id="10" name="直線接點 60"/>
        <xdr:cNvCxnSpPr/>
      </xdr:nvCxnSpPr>
      <xdr:spPr>
        <a:xfrm>
          <a:off x="5029835" y="13601700"/>
          <a:ext cx="4886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257175</xdr:colOff>
      <xdr:row>47</xdr:row>
      <xdr:rowOff>200025</xdr:rowOff>
    </xdr:from>
    <xdr:to>
      <xdr:col>30</xdr:col>
      <xdr:colOff>866775</xdr:colOff>
      <xdr:row>47</xdr:row>
      <xdr:rowOff>209550</xdr:rowOff>
    </xdr:to>
    <xdr:cxnSp>
      <xdr:nvCxnSpPr>
        <xdr:cNvPr id="13" name="直線接點 13"/>
        <xdr:cNvCxnSpPr/>
      </xdr:nvCxnSpPr>
      <xdr:spPr>
        <a:xfrm flipV="1">
          <a:off x="15278100" y="12734925"/>
          <a:ext cx="4581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228600</xdr:colOff>
      <xdr:row>49</xdr:row>
      <xdr:rowOff>142875</xdr:rowOff>
    </xdr:from>
    <xdr:to>
      <xdr:col>30</xdr:col>
      <xdr:colOff>866775</xdr:colOff>
      <xdr:row>49</xdr:row>
      <xdr:rowOff>142875</xdr:rowOff>
    </xdr:to>
    <xdr:cxnSp>
      <xdr:nvCxnSpPr>
        <xdr:cNvPr id="29" name="直線接點 65"/>
        <xdr:cNvCxnSpPr/>
      </xdr:nvCxnSpPr>
      <xdr:spPr>
        <a:xfrm>
          <a:off x="15249525" y="13211175"/>
          <a:ext cx="4610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53</xdr:row>
      <xdr:rowOff>0</xdr:rowOff>
    </xdr:from>
    <xdr:to>
      <xdr:col>23</xdr:col>
      <xdr:colOff>9525</xdr:colOff>
      <xdr:row>53</xdr:row>
      <xdr:rowOff>0</xdr:rowOff>
    </xdr:to>
    <xdr:cxnSp>
      <xdr:nvCxnSpPr>
        <xdr:cNvPr id="33" name="直線接點 14"/>
        <xdr:cNvCxnSpPr/>
      </xdr:nvCxnSpPr>
      <xdr:spPr>
        <a:xfrm>
          <a:off x="10058400" y="14135100"/>
          <a:ext cx="484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50</xdr:row>
      <xdr:rowOff>0</xdr:rowOff>
    </xdr:from>
    <xdr:to>
      <xdr:col>22</xdr:col>
      <xdr:colOff>847725</xdr:colOff>
      <xdr:row>50</xdr:row>
      <xdr:rowOff>0</xdr:rowOff>
    </xdr:to>
    <xdr:cxnSp>
      <xdr:nvCxnSpPr>
        <xdr:cNvPr id="36" name="直線接點 21"/>
        <xdr:cNvCxnSpPr/>
      </xdr:nvCxnSpPr>
      <xdr:spPr>
        <a:xfrm>
          <a:off x="10048875" y="13335000"/>
          <a:ext cx="48291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38</xdr:row>
      <xdr:rowOff>0</xdr:rowOff>
    </xdr:from>
    <xdr:to>
      <xdr:col>14</xdr:col>
      <xdr:colOff>857250</xdr:colOff>
      <xdr:row>38</xdr:row>
      <xdr:rowOff>0</xdr:rowOff>
    </xdr:to>
    <xdr:cxnSp>
      <xdr:nvCxnSpPr>
        <xdr:cNvPr id="14" name="直線接點 36"/>
        <xdr:cNvCxnSpPr/>
      </xdr:nvCxnSpPr>
      <xdr:spPr>
        <a:xfrm>
          <a:off x="5029200" y="10134600"/>
          <a:ext cx="489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41</xdr:row>
      <xdr:rowOff>0</xdr:rowOff>
    </xdr:from>
    <xdr:to>
      <xdr:col>14</xdr:col>
      <xdr:colOff>838200</xdr:colOff>
      <xdr:row>41</xdr:row>
      <xdr:rowOff>0</xdr:rowOff>
    </xdr:to>
    <xdr:cxnSp>
      <xdr:nvCxnSpPr>
        <xdr:cNvPr id="18" name="直線接點 25"/>
        <xdr:cNvCxnSpPr/>
      </xdr:nvCxnSpPr>
      <xdr:spPr>
        <a:xfrm>
          <a:off x="5038725" y="10934700"/>
          <a:ext cx="4867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40</xdr:row>
      <xdr:rowOff>0</xdr:rowOff>
    </xdr:from>
    <xdr:to>
      <xdr:col>14</xdr:col>
      <xdr:colOff>819150</xdr:colOff>
      <xdr:row>40</xdr:row>
      <xdr:rowOff>0</xdr:rowOff>
    </xdr:to>
    <xdr:cxnSp>
      <xdr:nvCxnSpPr>
        <xdr:cNvPr id="23" name="直線連接符 22"/>
        <xdr:cNvCxnSpPr/>
      </xdr:nvCxnSpPr>
      <xdr:spPr>
        <a:xfrm>
          <a:off x="5067300" y="10668000"/>
          <a:ext cx="481965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</xdr:colOff>
      <xdr:row>42</xdr:row>
      <xdr:rowOff>0</xdr:rowOff>
    </xdr:from>
    <xdr:to>
      <xdr:col>14</xdr:col>
      <xdr:colOff>848360</xdr:colOff>
      <xdr:row>42</xdr:row>
      <xdr:rowOff>0</xdr:rowOff>
    </xdr:to>
    <xdr:cxnSp>
      <xdr:nvCxnSpPr>
        <xdr:cNvPr id="30" name="直線接點 60"/>
        <xdr:cNvCxnSpPr/>
      </xdr:nvCxnSpPr>
      <xdr:spPr>
        <a:xfrm>
          <a:off x="5029835" y="11201400"/>
          <a:ext cx="4886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3"/>
  <sheetViews>
    <sheetView tabSelected="1" topLeftCell="A31" workbookViewId="0">
      <selection activeCell="I35" sqref="I35:O53"/>
    </sheetView>
  </sheetViews>
  <sheetFormatPr defaultColWidth="9" defaultRowHeight="16.5"/>
  <cols>
    <col min="1" max="1" width="10.375" customWidth="1"/>
    <col min="2" max="2" width="10.75" customWidth="1"/>
    <col min="3" max="3" width="7.125" customWidth="1"/>
    <col min="4" max="4" width="7.375" customWidth="1"/>
    <col min="5" max="5" width="8.375" customWidth="1"/>
    <col min="7" max="7" width="11.375" customWidth="1"/>
    <col min="8" max="8" width="1.625" customWidth="1"/>
    <col min="9" max="9" width="10.375" customWidth="1"/>
    <col min="10" max="10" width="10.75" customWidth="1"/>
    <col min="11" max="11" width="7.125" customWidth="1"/>
    <col min="12" max="12" width="7.375" customWidth="1"/>
    <col min="13" max="13" width="8.375" customWidth="1"/>
    <col min="15" max="15" width="11.375" customWidth="1"/>
    <col min="16" max="16" width="1.625" customWidth="1"/>
    <col min="17" max="17" width="10.375" customWidth="1"/>
    <col min="18" max="18" width="10.75" customWidth="1"/>
    <col min="19" max="20" width="7.125" customWidth="1"/>
    <col min="21" max="21" width="8.125" customWidth="1"/>
    <col min="22" max="22" width="8.625" customWidth="1"/>
    <col min="23" max="23" width="11.375" customWidth="1"/>
    <col min="24" max="24" width="1.625" customWidth="1"/>
    <col min="25" max="25" width="10.375" customWidth="1"/>
    <col min="26" max="26" width="10.75" customWidth="1"/>
    <col min="27" max="28" width="7.125" customWidth="1"/>
    <col min="29" max="29" width="8.125" customWidth="1"/>
    <col min="30" max="30" width="8.625" customWidth="1"/>
    <col min="31" max="31" width="11.375" customWidth="1"/>
  </cols>
  <sheetData>
    <row r="1" ht="21" customHeight="1" spans="1:26">
      <c r="A1" t="s">
        <v>0</v>
      </c>
      <c r="C1" s="1" t="s">
        <v>1</v>
      </c>
      <c r="I1" t="s">
        <v>0</v>
      </c>
      <c r="K1" s="2" t="s">
        <v>2</v>
      </c>
      <c r="L1" s="2"/>
      <c r="Q1" t="s">
        <v>0</v>
      </c>
      <c r="S1" s="1" t="s">
        <v>3</v>
      </c>
      <c r="Y1" t="s">
        <v>4</v>
      </c>
      <c r="Z1" t="s">
        <v>4</v>
      </c>
    </row>
    <row r="2" ht="21" customHeight="1" spans="1:26">
      <c r="A2" t="s">
        <v>5</v>
      </c>
      <c r="B2" t="s">
        <v>6</v>
      </c>
      <c r="I2" t="s">
        <v>5</v>
      </c>
      <c r="J2" t="s">
        <v>7</v>
      </c>
      <c r="Q2" t="s">
        <v>5</v>
      </c>
      <c r="R2" t="s">
        <v>8</v>
      </c>
      <c r="Y2" t="s">
        <v>9</v>
      </c>
    </row>
    <row r="3" ht="21" customHeight="1" spans="1:26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I3" t="s">
        <v>10</v>
      </c>
      <c r="J3" t="s">
        <v>11</v>
      </c>
      <c r="K3" t="s">
        <v>12</v>
      </c>
      <c r="L3" t="s">
        <v>13</v>
      </c>
      <c r="M3" s="3" t="s">
        <v>17</v>
      </c>
      <c r="N3" t="s">
        <v>15</v>
      </c>
      <c r="O3" t="s">
        <v>16</v>
      </c>
      <c r="Q3" t="s">
        <v>10</v>
      </c>
      <c r="R3" t="s">
        <v>11</v>
      </c>
      <c r="S3" t="s">
        <v>12</v>
      </c>
      <c r="T3" t="s">
        <v>13</v>
      </c>
      <c r="U3" t="s">
        <v>18</v>
      </c>
      <c r="V3" t="s">
        <v>15</v>
      </c>
      <c r="W3" t="s">
        <v>16</v>
      </c>
      <c r="Y3" t="s">
        <v>19</v>
      </c>
      <c r="Z3" t="s">
        <v>20</v>
      </c>
    </row>
    <row r="4" ht="21" customHeight="1" spans="1:26">
      <c r="A4" t="s">
        <v>21</v>
      </c>
      <c r="B4" t="s">
        <v>19</v>
      </c>
      <c r="C4">
        <v>3</v>
      </c>
      <c r="D4">
        <v>650</v>
      </c>
      <c r="F4">
        <f t="shared" ref="F4:F9" si="0">C4*D4</f>
        <v>1950</v>
      </c>
      <c r="I4" t="s">
        <v>22</v>
      </c>
      <c r="J4" t="s">
        <v>19</v>
      </c>
      <c r="K4">
        <v>5</v>
      </c>
      <c r="L4">
        <v>660</v>
      </c>
      <c r="N4">
        <f t="shared" ref="N4:N13" si="1">K4*L4</f>
        <v>3300</v>
      </c>
      <c r="Q4" t="s">
        <v>23</v>
      </c>
      <c r="R4" t="s">
        <v>4</v>
      </c>
      <c r="S4">
        <v>10</v>
      </c>
      <c r="T4">
        <v>250</v>
      </c>
      <c r="V4">
        <f>S4*T4</f>
        <v>2500</v>
      </c>
      <c r="Z4" t="s">
        <v>20</v>
      </c>
    </row>
    <row r="5" ht="21" customHeight="1" spans="1:26">
      <c r="B5" t="s">
        <v>9</v>
      </c>
      <c r="C5">
        <v>20</v>
      </c>
      <c r="D5">
        <v>410</v>
      </c>
      <c r="E5" s="4"/>
      <c r="F5">
        <f t="shared" si="0"/>
        <v>8200</v>
      </c>
      <c r="J5" t="s">
        <v>24</v>
      </c>
      <c r="K5">
        <v>5</v>
      </c>
      <c r="L5">
        <v>95</v>
      </c>
      <c r="N5">
        <f t="shared" si="1"/>
        <v>475</v>
      </c>
      <c r="Q5" t="s">
        <v>25</v>
      </c>
      <c r="R5" t="s">
        <v>4</v>
      </c>
      <c r="S5">
        <v>15</v>
      </c>
      <c r="T5">
        <v>250</v>
      </c>
      <c r="V5">
        <f>S5*T5</f>
        <v>3750</v>
      </c>
    </row>
    <row r="6" ht="21" customHeight="1" spans="1:26">
      <c r="B6" t="s">
        <v>26</v>
      </c>
      <c r="C6">
        <v>1</v>
      </c>
      <c r="D6">
        <v>375</v>
      </c>
      <c r="E6" s="4"/>
      <c r="F6">
        <f t="shared" si="0"/>
        <v>375</v>
      </c>
      <c r="G6">
        <f>F4+F5+F6</f>
        <v>10525</v>
      </c>
      <c r="J6" t="s">
        <v>9</v>
      </c>
      <c r="K6">
        <v>15</v>
      </c>
      <c r="L6">
        <v>410</v>
      </c>
      <c r="N6">
        <f t="shared" si="1"/>
        <v>6150</v>
      </c>
      <c r="O6">
        <f>N4+N5+N6</f>
        <v>9925</v>
      </c>
      <c r="Q6" t="s">
        <v>27</v>
      </c>
      <c r="R6" t="s">
        <v>4</v>
      </c>
      <c r="S6">
        <v>10</v>
      </c>
      <c r="T6">
        <v>250</v>
      </c>
      <c r="V6">
        <f>S6*T6</f>
        <v>2500</v>
      </c>
    </row>
    <row r="7" ht="21" customHeight="1" spans="1:26">
      <c r="A7" t="s">
        <v>28</v>
      </c>
      <c r="B7" t="s">
        <v>19</v>
      </c>
      <c r="C7">
        <v>5</v>
      </c>
      <c r="D7">
        <v>650</v>
      </c>
      <c r="E7" s="4"/>
      <c r="F7">
        <f t="shared" si="0"/>
        <v>3250</v>
      </c>
      <c r="I7" t="s">
        <v>22</v>
      </c>
      <c r="J7" t="s">
        <v>4</v>
      </c>
      <c r="K7">
        <v>2</v>
      </c>
      <c r="L7">
        <v>250</v>
      </c>
      <c r="N7">
        <f t="shared" si="1"/>
        <v>500</v>
      </c>
      <c r="O7">
        <f>N7</f>
        <v>500</v>
      </c>
      <c r="W7">
        <f>V4+V5+V6</f>
        <v>8750</v>
      </c>
      <c r="Z7" t="s">
        <v>29</v>
      </c>
    </row>
    <row r="8" ht="21" customHeight="1" spans="1:26">
      <c r="B8" t="s">
        <v>9</v>
      </c>
      <c r="C8">
        <v>40</v>
      </c>
      <c r="D8">
        <v>410</v>
      </c>
      <c r="F8">
        <f t="shared" si="0"/>
        <v>16400</v>
      </c>
      <c r="I8" t="s">
        <v>23</v>
      </c>
      <c r="J8" t="s">
        <v>19</v>
      </c>
      <c r="K8">
        <v>4</v>
      </c>
      <c r="L8">
        <v>660</v>
      </c>
      <c r="N8">
        <f t="shared" si="1"/>
        <v>2640</v>
      </c>
      <c r="O8">
        <f>N8</f>
        <v>2640</v>
      </c>
      <c r="Y8" t="s">
        <v>20</v>
      </c>
    </row>
    <row r="9" ht="21" customHeight="1" spans="1:26">
      <c r="B9" t="s">
        <v>4</v>
      </c>
      <c r="C9">
        <v>8</v>
      </c>
      <c r="D9">
        <v>250</v>
      </c>
      <c r="E9" s="4"/>
      <c r="F9">
        <f t="shared" si="0"/>
        <v>2000</v>
      </c>
      <c r="I9" t="s">
        <v>30</v>
      </c>
      <c r="J9" t="s">
        <v>19</v>
      </c>
      <c r="K9">
        <v>4</v>
      </c>
      <c r="L9">
        <v>660</v>
      </c>
      <c r="N9">
        <f t="shared" si="1"/>
        <v>2640</v>
      </c>
    </row>
    <row r="10" ht="21" customHeight="1" spans="1:26">
      <c r="E10" s="4">
        <v>200</v>
      </c>
      <c r="G10">
        <f>F7+F8+F9-E10</f>
        <v>21450</v>
      </c>
      <c r="J10" t="s">
        <v>9</v>
      </c>
      <c r="K10">
        <v>15</v>
      </c>
      <c r="L10">
        <v>410</v>
      </c>
      <c r="N10">
        <f t="shared" si="1"/>
        <v>6150</v>
      </c>
    </row>
    <row r="11" ht="21" customHeight="1" spans="1:26">
      <c r="A11" t="s">
        <v>31</v>
      </c>
      <c r="B11" t="s">
        <v>19</v>
      </c>
      <c r="C11">
        <v>2</v>
      </c>
      <c r="D11">
        <v>650</v>
      </c>
      <c r="E11" s="4"/>
      <c r="F11">
        <f>C11*D11</f>
        <v>1300</v>
      </c>
      <c r="J11" t="s">
        <v>24</v>
      </c>
      <c r="K11">
        <v>5</v>
      </c>
      <c r="L11">
        <v>95</v>
      </c>
      <c r="N11">
        <f t="shared" si="1"/>
        <v>475</v>
      </c>
      <c r="O11">
        <f>N9+N10+N11</f>
        <v>9265</v>
      </c>
      <c r="Q11" t="s">
        <v>0</v>
      </c>
      <c r="S11" s="1" t="s">
        <v>32</v>
      </c>
      <c r="Y11" t="s">
        <v>4</v>
      </c>
    </row>
    <row r="12" ht="21" customHeight="1" spans="1:26">
      <c r="B12" t="s">
        <v>9</v>
      </c>
      <c r="C12">
        <v>17</v>
      </c>
      <c r="D12">
        <v>410</v>
      </c>
      <c r="F12">
        <f>C12*D12</f>
        <v>6970</v>
      </c>
      <c r="G12">
        <f>F11+F12</f>
        <v>8270</v>
      </c>
      <c r="O12">
        <f>O6+O7+O8+O11</f>
        <v>22330</v>
      </c>
      <c r="Q12" t="s">
        <v>5</v>
      </c>
      <c r="R12" t="s">
        <v>33</v>
      </c>
    </row>
    <row r="13" ht="21" customHeight="1" spans="1:26">
      <c r="F13" t="s">
        <v>34</v>
      </c>
      <c r="G13">
        <f>G6+G10+G12</f>
        <v>40245</v>
      </c>
      <c r="Q13" t="s">
        <v>10</v>
      </c>
      <c r="R13" t="s">
        <v>11</v>
      </c>
      <c r="S13" t="s">
        <v>12</v>
      </c>
      <c r="T13" t="s">
        <v>13</v>
      </c>
      <c r="U13" t="s">
        <v>14</v>
      </c>
      <c r="V13" t="s">
        <v>15</v>
      </c>
      <c r="W13" t="s">
        <v>16</v>
      </c>
    </row>
    <row r="14" ht="21" customHeight="1" spans="1:26">
      <c r="E14" s="4"/>
      <c r="I14" t="s">
        <v>35</v>
      </c>
      <c r="J14" t="s">
        <v>36</v>
      </c>
      <c r="K14" t="s">
        <v>37</v>
      </c>
      <c r="L14" t="s">
        <v>38</v>
      </c>
      <c r="M14" s="4" t="s">
        <v>39</v>
      </c>
      <c r="Q14" t="s">
        <v>40</v>
      </c>
      <c r="R14" t="s">
        <v>29</v>
      </c>
      <c r="S14">
        <v>5</v>
      </c>
      <c r="T14">
        <v>370</v>
      </c>
      <c r="V14">
        <f>S14*T14</f>
        <v>1850</v>
      </c>
      <c r="Y14" t="s">
        <v>41</v>
      </c>
    </row>
    <row r="15" ht="21" customHeight="1" spans="1:26">
      <c r="B15" t="s">
        <v>42</v>
      </c>
      <c r="C15" t="s">
        <v>43</v>
      </c>
      <c r="D15" t="s">
        <v>44</v>
      </c>
      <c r="E15" t="s">
        <v>45</v>
      </c>
      <c r="F15" s="5" t="s">
        <v>46</v>
      </c>
      <c r="I15">
        <f>K7</f>
        <v>2</v>
      </c>
      <c r="J15">
        <f>K6+K10</f>
        <v>30</v>
      </c>
      <c r="K15">
        <f>K4+K8+K9</f>
        <v>13</v>
      </c>
      <c r="L15">
        <f>K5+K11</f>
        <v>10</v>
      </c>
      <c r="R15" t="s">
        <v>24</v>
      </c>
      <c r="S15">
        <v>5</v>
      </c>
      <c r="T15">
        <v>101</v>
      </c>
      <c r="U15" s="4"/>
      <c r="V15">
        <f>S15*T15</f>
        <v>505</v>
      </c>
      <c r="Y15" t="s">
        <v>9</v>
      </c>
    </row>
    <row r="16" ht="21" customHeight="1" spans="1:26">
      <c r="B16">
        <f>C4+C7+C11</f>
        <v>10</v>
      </c>
      <c r="C16">
        <f>C5+C8+C12</f>
        <v>77</v>
      </c>
      <c r="D16">
        <f>C9</f>
        <v>8</v>
      </c>
      <c r="E16" s="3">
        <f>C6</f>
        <v>1</v>
      </c>
      <c r="I16">
        <f>I15*L7</f>
        <v>500</v>
      </c>
      <c r="J16">
        <f>J15*L10</f>
        <v>12300</v>
      </c>
      <c r="K16">
        <f>K15*L9</f>
        <v>8580</v>
      </c>
      <c r="L16">
        <f>L15*L11</f>
        <v>950</v>
      </c>
      <c r="O16">
        <f>I16+J16+K16+L16</f>
        <v>22330</v>
      </c>
      <c r="U16" s="4">
        <v>390</v>
      </c>
      <c r="W16">
        <f>V14+V15-U16</f>
        <v>1965</v>
      </c>
      <c r="Y16" t="s">
        <v>24</v>
      </c>
    </row>
    <row r="17" ht="21" customHeight="1" spans="1:25">
      <c r="B17">
        <f>B16*D11</f>
        <v>6500</v>
      </c>
      <c r="C17">
        <f>C16*D12</f>
        <v>31570</v>
      </c>
      <c r="D17">
        <f>D16*D9</f>
        <v>2000</v>
      </c>
      <c r="E17">
        <f>E16*D6</f>
        <v>375</v>
      </c>
      <c r="F17" s="6">
        <f>E10</f>
        <v>200</v>
      </c>
      <c r="G17">
        <f>B17+C17+D17+E17-F17</f>
        <v>40245</v>
      </c>
      <c r="Q17" t="s">
        <v>47</v>
      </c>
      <c r="R17" t="s">
        <v>29</v>
      </c>
      <c r="S17">
        <v>5</v>
      </c>
      <c r="T17">
        <v>370</v>
      </c>
      <c r="U17" s="4"/>
      <c r="V17">
        <f>S17*T17</f>
        <v>1850</v>
      </c>
    </row>
    <row r="18" ht="21" customHeight="1" spans="1:25">
      <c r="I18" t="s">
        <v>0</v>
      </c>
      <c r="K18" s="2" t="s">
        <v>48</v>
      </c>
      <c r="L18" s="7"/>
      <c r="R18" t="s">
        <v>20</v>
      </c>
      <c r="S18">
        <v>1</v>
      </c>
      <c r="T18">
        <v>320</v>
      </c>
      <c r="V18">
        <f>S18*T18</f>
        <v>320</v>
      </c>
      <c r="Y18" t="s">
        <v>4</v>
      </c>
    </row>
    <row r="19" ht="21" customHeight="1" spans="1:25">
      <c r="A19" t="s">
        <v>0</v>
      </c>
      <c r="C19" s="1" t="s">
        <v>49</v>
      </c>
      <c r="I19" t="s">
        <v>5</v>
      </c>
      <c r="J19" t="s">
        <v>50</v>
      </c>
      <c r="R19" t="s">
        <v>24</v>
      </c>
      <c r="S19">
        <v>5</v>
      </c>
      <c r="T19">
        <v>101</v>
      </c>
      <c r="V19">
        <f>S19*T19</f>
        <v>505</v>
      </c>
    </row>
    <row r="20" ht="21" customHeight="1" spans="1:25">
      <c r="A20" t="s">
        <v>5</v>
      </c>
      <c r="B20" t="s">
        <v>51</v>
      </c>
      <c r="I20" t="s">
        <v>10</v>
      </c>
      <c r="J20" t="s">
        <v>11</v>
      </c>
      <c r="K20" t="s">
        <v>12</v>
      </c>
      <c r="L20" t="s">
        <v>13</v>
      </c>
      <c r="M20" t="s">
        <v>18</v>
      </c>
      <c r="N20" t="s">
        <v>15</v>
      </c>
      <c r="O20" t="s">
        <v>16</v>
      </c>
      <c r="R20" t="s">
        <v>4</v>
      </c>
      <c r="S20">
        <v>1</v>
      </c>
      <c r="T20">
        <v>300</v>
      </c>
      <c r="U20" s="4"/>
      <c r="V20">
        <f>S20*T20</f>
        <v>300</v>
      </c>
    </row>
    <row r="21" ht="21" customHeight="1" spans="1:25">
      <c r="A21" t="s">
        <v>10</v>
      </c>
      <c r="B21" t="s">
        <v>11</v>
      </c>
      <c r="C21" t="s">
        <v>12</v>
      </c>
      <c r="D21" t="s">
        <v>13</v>
      </c>
      <c r="E21" t="s">
        <v>18</v>
      </c>
      <c r="F21" t="s">
        <v>15</v>
      </c>
      <c r="G21" t="s">
        <v>16</v>
      </c>
      <c r="J21" t="s">
        <v>9</v>
      </c>
      <c r="K21">
        <v>1</v>
      </c>
      <c r="L21">
        <v>410</v>
      </c>
      <c r="N21">
        <f>L21*K21</f>
        <v>410</v>
      </c>
      <c r="U21" s="4">
        <v>300</v>
      </c>
      <c r="W21">
        <f>V17+V18+V19+V20-U21</f>
        <v>2675</v>
      </c>
    </row>
    <row r="22" ht="21" customHeight="1" spans="1:25">
      <c r="A22" t="s">
        <v>52</v>
      </c>
      <c r="B22" t="s">
        <v>53</v>
      </c>
      <c r="C22">
        <v>10</v>
      </c>
      <c r="D22">
        <v>250</v>
      </c>
      <c r="F22">
        <f>C22*D22</f>
        <v>2500</v>
      </c>
      <c r="J22" t="s">
        <v>4</v>
      </c>
      <c r="K22">
        <v>10</v>
      </c>
      <c r="L22">
        <v>250</v>
      </c>
      <c r="N22">
        <f>K22*L22</f>
        <v>2500</v>
      </c>
      <c r="Q22" t="s">
        <v>27</v>
      </c>
      <c r="R22" t="s">
        <v>29</v>
      </c>
      <c r="S22">
        <v>5</v>
      </c>
      <c r="T22">
        <v>370</v>
      </c>
      <c r="V22">
        <f>S22*T22</f>
        <v>1850</v>
      </c>
    </row>
    <row r="23" ht="21" customHeight="1" spans="1:25">
      <c r="A23" t="s">
        <v>54</v>
      </c>
      <c r="B23" t="s">
        <v>4</v>
      </c>
      <c r="C23">
        <v>15</v>
      </c>
      <c r="D23">
        <v>250</v>
      </c>
      <c r="F23">
        <v>3750</v>
      </c>
      <c r="J23" t="s">
        <v>4</v>
      </c>
      <c r="K23">
        <v>10</v>
      </c>
      <c r="L23">
        <v>250</v>
      </c>
      <c r="N23">
        <f>K23*L23</f>
        <v>2500</v>
      </c>
      <c r="R23" t="s">
        <v>24</v>
      </c>
      <c r="S23">
        <v>5</v>
      </c>
      <c r="T23">
        <v>101</v>
      </c>
      <c r="V23">
        <f>S23*T23</f>
        <v>505</v>
      </c>
    </row>
    <row r="24" ht="21" customHeight="1" spans="1:25">
      <c r="A24" t="s">
        <v>55</v>
      </c>
      <c r="B24" t="s">
        <v>4</v>
      </c>
      <c r="C24">
        <v>15</v>
      </c>
      <c r="D24">
        <v>250</v>
      </c>
      <c r="F24">
        <f>C24*D24</f>
        <v>3750</v>
      </c>
      <c r="N24" t="s">
        <v>34</v>
      </c>
      <c r="O24">
        <f>N21+N22+N23</f>
        <v>5410</v>
      </c>
      <c r="R24" t="s">
        <v>20</v>
      </c>
      <c r="S24">
        <v>1</v>
      </c>
      <c r="T24">
        <v>320</v>
      </c>
      <c r="V24">
        <f>S24*T24</f>
        <v>320</v>
      </c>
      <c r="W24">
        <f>V22+V23+V24</f>
        <v>2675</v>
      </c>
    </row>
    <row r="25" ht="21" customHeight="1" spans="1:25">
      <c r="F25" t="s">
        <v>34</v>
      </c>
      <c r="G25">
        <f>F22+F23+F24</f>
        <v>10000</v>
      </c>
      <c r="W25">
        <f>W16+W21+W24</f>
        <v>7315</v>
      </c>
    </row>
    <row r="26" ht="21" customHeight="1"/>
    <row r="27" ht="21" customHeight="1" spans="1:25">
      <c r="A27" t="s">
        <v>0</v>
      </c>
      <c r="C27" s="1" t="s">
        <v>56</v>
      </c>
      <c r="R27" t="s">
        <v>57</v>
      </c>
      <c r="S27" t="s">
        <v>58</v>
      </c>
      <c r="T27" t="s">
        <v>38</v>
      </c>
      <c r="U27" t="s">
        <v>59</v>
      </c>
      <c r="V27" s="4" t="s">
        <v>46</v>
      </c>
      <c r="Y27" t="s">
        <v>19</v>
      </c>
    </row>
    <row r="28" ht="21" customHeight="1" spans="1:25">
      <c r="A28" t="s">
        <v>5</v>
      </c>
      <c r="B28" t="s">
        <v>60</v>
      </c>
      <c r="R28">
        <f>S14+S17+S22</f>
        <v>15</v>
      </c>
      <c r="S28">
        <f>S18+S24</f>
        <v>2</v>
      </c>
      <c r="T28">
        <f>S15+S19+S23</f>
        <v>15</v>
      </c>
      <c r="U28">
        <f>S24</f>
        <v>1</v>
      </c>
    </row>
    <row r="29" ht="21" customHeight="1" spans="1: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R29">
        <f>R28*T22</f>
        <v>5550</v>
      </c>
      <c r="S29">
        <f>S28*T24</f>
        <v>640</v>
      </c>
      <c r="T29">
        <f>T28*T23</f>
        <v>1515</v>
      </c>
      <c r="U29">
        <f>U28*T20</f>
        <v>300</v>
      </c>
      <c r="V29" s="4">
        <f>U21+U16</f>
        <v>690</v>
      </c>
      <c r="W29">
        <f>R29+S29+T29+U29-V29</f>
        <v>7315</v>
      </c>
      <c r="Y29" t="s">
        <v>19</v>
      </c>
    </row>
    <row r="30" ht="21" customHeight="1" spans="1:25">
      <c r="A30" t="s">
        <v>61</v>
      </c>
      <c r="B30" t="s">
        <v>4</v>
      </c>
      <c r="C30">
        <v>20</v>
      </c>
      <c r="D30">
        <v>250</v>
      </c>
      <c r="F30">
        <v>5000</v>
      </c>
    </row>
    <row r="31" ht="21" customHeight="1" spans="1:25">
      <c r="A31" t="s">
        <v>62</v>
      </c>
      <c r="B31" t="s">
        <v>4</v>
      </c>
      <c r="C31">
        <v>20</v>
      </c>
      <c r="D31">
        <v>250</v>
      </c>
      <c r="F31">
        <v>5000</v>
      </c>
    </row>
    <row r="32" ht="21" customHeight="1" spans="1:25">
      <c r="A32" t="s">
        <v>63</v>
      </c>
      <c r="B32" t="s">
        <v>4</v>
      </c>
      <c r="C32">
        <v>20</v>
      </c>
      <c r="D32">
        <v>250</v>
      </c>
      <c r="F32">
        <v>5000</v>
      </c>
      <c r="Q32" t="s">
        <v>0</v>
      </c>
      <c r="S32" s="1" t="s">
        <v>64</v>
      </c>
      <c r="T32" s="7"/>
      <c r="Y32" t="s">
        <v>29</v>
      </c>
    </row>
    <row r="33" ht="21" customHeight="1" spans="1:29">
      <c r="A33" t="s">
        <v>30</v>
      </c>
      <c r="B33" t="s">
        <v>65</v>
      </c>
      <c r="C33">
        <v>20</v>
      </c>
      <c r="D33">
        <v>250</v>
      </c>
      <c r="F33">
        <f>C33*D33</f>
        <v>5000</v>
      </c>
      <c r="Q33" t="s">
        <v>5</v>
      </c>
      <c r="R33" t="s">
        <v>66</v>
      </c>
    </row>
    <row r="34" ht="21" customHeight="1" spans="1:29">
      <c r="A34" t="s">
        <v>67</v>
      </c>
      <c r="B34" t="s">
        <v>4</v>
      </c>
      <c r="C34">
        <v>20</v>
      </c>
      <c r="D34">
        <v>250</v>
      </c>
      <c r="F34">
        <f>C34*D34</f>
        <v>5000</v>
      </c>
      <c r="Q34" t="s">
        <v>10</v>
      </c>
      <c r="R34" t="s">
        <v>11</v>
      </c>
      <c r="S34" t="s">
        <v>12</v>
      </c>
      <c r="T34" t="s">
        <v>13</v>
      </c>
      <c r="U34" t="s">
        <v>18</v>
      </c>
      <c r="V34" t="s">
        <v>15</v>
      </c>
      <c r="W34" t="s">
        <v>16</v>
      </c>
    </row>
    <row r="35" ht="21" customHeight="1" spans="1:29">
      <c r="F35" t="s">
        <v>68</v>
      </c>
      <c r="G35">
        <f>F30+F31+F32+F33+F34</f>
        <v>25000</v>
      </c>
      <c r="Q35" t="s">
        <v>67</v>
      </c>
      <c r="R35" t="s">
        <v>26</v>
      </c>
      <c r="S35">
        <v>9</v>
      </c>
      <c r="T35">
        <v>375</v>
      </c>
      <c r="V35">
        <f>S35*T35</f>
        <v>3375</v>
      </c>
      <c r="W35">
        <f>V35</f>
        <v>3375</v>
      </c>
      <c r="Y35" t="s">
        <v>69</v>
      </c>
    </row>
    <row r="36" ht="21" customHeight="1" spans="1:29">
      <c r="Q36" t="s">
        <v>52</v>
      </c>
      <c r="R36" t="s">
        <v>26</v>
      </c>
      <c r="S36">
        <v>10</v>
      </c>
      <c r="T36">
        <v>375</v>
      </c>
      <c r="V36">
        <f>S36*T36</f>
        <v>3750</v>
      </c>
      <c r="W36">
        <f>V36</f>
        <v>3750</v>
      </c>
      <c r="AA36" t="s">
        <v>70</v>
      </c>
      <c r="AB36" t="s">
        <v>71</v>
      </c>
      <c r="AC36" t="s">
        <v>72</v>
      </c>
    </row>
    <row r="37" ht="21" customHeight="1" spans="1:29">
      <c r="I37" t="s">
        <v>0</v>
      </c>
      <c r="K37" s="1" t="s">
        <v>73</v>
      </c>
      <c r="Q37" t="s">
        <v>54</v>
      </c>
      <c r="R37" t="s">
        <v>26</v>
      </c>
      <c r="S37">
        <v>9</v>
      </c>
      <c r="T37">
        <v>375</v>
      </c>
      <c r="V37">
        <f>S37*T37</f>
        <v>3375</v>
      </c>
      <c r="W37">
        <f>V37</f>
        <v>3375</v>
      </c>
      <c r="AA37" s="4" t="s">
        <v>46</v>
      </c>
    </row>
    <row r="38" ht="21" customHeight="1" spans="1:29">
      <c r="I38" t="s">
        <v>5</v>
      </c>
      <c r="J38" t="s">
        <v>74</v>
      </c>
      <c r="Q38" t="s">
        <v>28</v>
      </c>
      <c r="R38" t="s">
        <v>26</v>
      </c>
      <c r="S38">
        <v>10</v>
      </c>
      <c r="T38">
        <v>375</v>
      </c>
      <c r="V38">
        <f>S38*T38</f>
        <v>3750</v>
      </c>
    </row>
    <row r="39" ht="21" customHeight="1" spans="1:29">
      <c r="A39" t="s">
        <v>0</v>
      </c>
      <c r="C39" s="1" t="s">
        <v>75</v>
      </c>
      <c r="D39" s="1"/>
      <c r="I39" t="s">
        <v>10</v>
      </c>
      <c r="J39" t="s">
        <v>11</v>
      </c>
      <c r="K39" t="s">
        <v>12</v>
      </c>
      <c r="L39" t="s">
        <v>13</v>
      </c>
      <c r="M39" t="s">
        <v>14</v>
      </c>
      <c r="N39" t="s">
        <v>15</v>
      </c>
      <c r="O39" t="s">
        <v>16</v>
      </c>
      <c r="R39" t="s">
        <v>65</v>
      </c>
      <c r="S39">
        <v>10</v>
      </c>
      <c r="T39">
        <v>260</v>
      </c>
      <c r="V39">
        <f>S39*T39</f>
        <v>2600</v>
      </c>
      <c r="W39">
        <f>V38+V39</f>
        <v>6350</v>
      </c>
    </row>
    <row r="40" ht="21" customHeight="1" spans="1:29">
      <c r="A40" t="s">
        <v>5</v>
      </c>
      <c r="B40" t="s">
        <v>76</v>
      </c>
      <c r="I40" t="s">
        <v>77</v>
      </c>
      <c r="J40" t="s">
        <v>9</v>
      </c>
      <c r="K40">
        <v>30</v>
      </c>
      <c r="L40">
        <v>420</v>
      </c>
      <c r="N40">
        <f t="shared" ref="N40:N42" si="2">K40*L40</f>
        <v>12600</v>
      </c>
      <c r="W40">
        <f>W35+W36+W37+W39</f>
        <v>16850</v>
      </c>
    </row>
    <row r="41" ht="21" customHeight="1" spans="1:29">
      <c r="A41" t="s">
        <v>10</v>
      </c>
      <c r="B41" t="s">
        <v>11</v>
      </c>
      <c r="C41" t="s">
        <v>12</v>
      </c>
      <c r="D41" t="s">
        <v>13</v>
      </c>
      <c r="E41" t="s">
        <v>18</v>
      </c>
      <c r="F41" t="s">
        <v>15</v>
      </c>
      <c r="G41" t="s">
        <v>16</v>
      </c>
      <c r="I41" t="s">
        <v>78</v>
      </c>
      <c r="J41" t="s">
        <v>9</v>
      </c>
      <c r="K41">
        <v>15</v>
      </c>
      <c r="L41">
        <v>420</v>
      </c>
      <c r="N41">
        <f t="shared" si="2"/>
        <v>6300</v>
      </c>
      <c r="Q41" t="s">
        <v>79</v>
      </c>
      <c r="R41" t="s">
        <v>59</v>
      </c>
      <c r="T41" t="s">
        <v>80</v>
      </c>
      <c r="U41" t="s">
        <v>81</v>
      </c>
      <c r="W41" t="s">
        <v>82</v>
      </c>
    </row>
    <row r="42" ht="21" customHeight="1" spans="1:29">
      <c r="A42" t="s">
        <v>21</v>
      </c>
      <c r="B42" t="s">
        <v>9</v>
      </c>
      <c r="C42">
        <v>60</v>
      </c>
      <c r="D42">
        <v>410</v>
      </c>
      <c r="F42">
        <f>C42*D42</f>
        <v>24600</v>
      </c>
      <c r="I42" t="s">
        <v>83</v>
      </c>
      <c r="J42" t="s">
        <v>9</v>
      </c>
      <c r="K42">
        <v>20</v>
      </c>
      <c r="L42">
        <v>420</v>
      </c>
      <c r="N42">
        <f t="shared" si="2"/>
        <v>8400</v>
      </c>
      <c r="Q42">
        <f>S35+S36+S37+S38</f>
        <v>38</v>
      </c>
      <c r="R42">
        <f>S39</f>
        <v>10</v>
      </c>
      <c r="U42" s="8">
        <v>0.05</v>
      </c>
    </row>
    <row r="43" ht="21" customHeight="1" spans="1:29">
      <c r="B43" t="s">
        <v>4</v>
      </c>
      <c r="C43">
        <v>1</v>
      </c>
      <c r="D43">
        <v>250</v>
      </c>
      <c r="F43">
        <f>C43*D43</f>
        <v>250</v>
      </c>
      <c r="N43" t="s">
        <v>34</v>
      </c>
      <c r="O43">
        <f>N40+N41+N42</f>
        <v>27300</v>
      </c>
      <c r="Q43">
        <f>Q42*T38</f>
        <v>14250</v>
      </c>
      <c r="R43">
        <f>R42*T39</f>
        <v>2600</v>
      </c>
      <c r="T43">
        <f>Q43+R43</f>
        <v>16850</v>
      </c>
      <c r="U43">
        <v>843</v>
      </c>
      <c r="W43">
        <f>T43+U43</f>
        <v>17693</v>
      </c>
    </row>
    <row r="44" ht="21" customHeight="1" spans="1:29">
      <c r="B44" t="s">
        <v>26</v>
      </c>
      <c r="C44">
        <v>3</v>
      </c>
      <c r="D44">
        <v>375</v>
      </c>
      <c r="F44">
        <f>C44*D44</f>
        <v>1125</v>
      </c>
      <c r="G44">
        <f>F42+F43+F44</f>
        <v>25975</v>
      </c>
    </row>
    <row r="45" ht="21" customHeight="1" spans="1:29">
      <c r="A45" t="s">
        <v>84</v>
      </c>
      <c r="B45" t="s">
        <v>9</v>
      </c>
      <c r="C45">
        <v>60</v>
      </c>
      <c r="D45">
        <v>410</v>
      </c>
      <c r="F45">
        <f>C45*D45</f>
        <v>24600</v>
      </c>
    </row>
    <row r="46" ht="21" customHeight="1" spans="1:29">
      <c r="B46" t="s">
        <v>26</v>
      </c>
      <c r="C46">
        <v>3</v>
      </c>
      <c r="D46">
        <v>375</v>
      </c>
      <c r="F46">
        <f>C46*D46</f>
        <v>1125</v>
      </c>
      <c r="I46" t="s">
        <v>0</v>
      </c>
      <c r="K46" s="1" t="s">
        <v>73</v>
      </c>
    </row>
    <row r="47" ht="21" customHeight="1" spans="1:29">
      <c r="B47" t="s">
        <v>9</v>
      </c>
      <c r="C47">
        <v>1</v>
      </c>
      <c r="D47">
        <v>410</v>
      </c>
      <c r="F47">
        <f>C47*D47</f>
        <v>410</v>
      </c>
      <c r="G47">
        <f>F45+F46+F47</f>
        <v>26135</v>
      </c>
      <c r="I47" t="s">
        <v>5</v>
      </c>
      <c r="J47" t="s">
        <v>74</v>
      </c>
    </row>
    <row r="48" ht="21" customHeight="1" spans="1:29">
      <c r="F48" t="s">
        <v>85</v>
      </c>
      <c r="G48">
        <f>G44+G47</f>
        <v>52110</v>
      </c>
      <c r="I48" t="s">
        <v>10</v>
      </c>
      <c r="J48" t="s">
        <v>11</v>
      </c>
      <c r="K48" t="s">
        <v>12</v>
      </c>
      <c r="L48" t="s">
        <v>13</v>
      </c>
      <c r="M48" t="s">
        <v>14</v>
      </c>
      <c r="N48" t="s">
        <v>15</v>
      </c>
      <c r="O48" t="s">
        <v>16</v>
      </c>
    </row>
    <row r="49" ht="21" customHeight="1" spans="9:28">
      <c r="I49" t="s">
        <v>77</v>
      </c>
      <c r="J49" t="s">
        <v>9</v>
      </c>
      <c r="K49">
        <v>30</v>
      </c>
      <c r="L49">
        <v>420</v>
      </c>
      <c r="N49">
        <f>K49*L49</f>
        <v>12600</v>
      </c>
    </row>
    <row r="50" ht="21" customHeight="1" spans="9:28">
      <c r="I50" t="s">
        <v>78</v>
      </c>
      <c r="J50" t="s">
        <v>9</v>
      </c>
      <c r="K50">
        <v>15</v>
      </c>
      <c r="L50">
        <v>420</v>
      </c>
      <c r="N50">
        <f>K50*L50</f>
        <v>6300</v>
      </c>
      <c r="AA50" s="1"/>
      <c r="AB50" s="7"/>
    </row>
    <row r="51" ht="21" customHeight="1" spans="9:28">
      <c r="I51" t="s">
        <v>83</v>
      </c>
      <c r="J51" t="s">
        <v>9</v>
      </c>
      <c r="K51">
        <v>20</v>
      </c>
      <c r="L51">
        <v>420</v>
      </c>
      <c r="N51">
        <f>K51*L51</f>
        <v>8400</v>
      </c>
    </row>
    <row r="52" ht="21" customHeight="1" spans="9:28">
      <c r="N52" t="s">
        <v>34</v>
      </c>
      <c r="O52">
        <f>N49+N50+N51</f>
        <v>27300</v>
      </c>
    </row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 spans="9:28">
      <c r="M62" s="8"/>
    </row>
    <row r="63" ht="21" customHeight="1"/>
  </sheetData>
  <pageMargins left="0.708661417322835" right="0.708661417322835" top="0.748031496062992" bottom="0.748031496062992" header="0.31496062992126" footer="0.31496062992126"/>
  <pageSetup paperSize="9" scale="130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范棋華</cp:lastModifiedBy>
  <dcterms:created xsi:type="dcterms:W3CDTF">2022-10-24T11:23:00Z</dcterms:created>
  <cp:lastPrinted>2026-02-05T14:25:00Z</cp:lastPrinted>
  <dcterms:modified xsi:type="dcterms:W3CDTF">2026-08-04T12:40:10Z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3076-12.1.0.26880</vt:lpwstr>
  </property>
  <property fmtid="{D5CDD505-2E9C-101B-9397-08002B2CF9AE}" pid="3" name="CalculationRule">
    <vt:i4>0</vt:i4>
  </property>
  <property fmtid="{D5CDD505-2E9C-101B-9397-08002B2CF9AE}" pid="4" name="ICV">
    <vt:lpwstr>1AA2648FD5CD4FE78E0C81A929C1CDD9_12</vt:lpwstr>
  </property>
</Properties>
</file>