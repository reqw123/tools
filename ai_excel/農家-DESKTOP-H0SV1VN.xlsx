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45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<sst xmlns="http://schemas.openxmlformats.org/spreadsheetml/2006/main" count="48" uniqueCount="32">
  <si>
    <t>客戶名稱</t>
  </si>
  <si>
    <t xml:space="preserve">   農  家</t>
  </si>
  <si>
    <t>雞絲麵</t>
  </si>
  <si>
    <t>對帳日期</t>
  </si>
  <si>
    <t>115.7.3~7.31</t>
  </si>
  <si>
    <t>壽麵</t>
  </si>
  <si>
    <t>貨單日期</t>
  </si>
  <si>
    <t>貨單名稱</t>
  </si>
  <si>
    <t>數量</t>
  </si>
  <si>
    <t>單價</t>
  </si>
  <si>
    <r>
      <rPr>
        <sz val="12"/>
        <color theme="1"/>
        <rFont val="新細明體"/>
        <charset val="136"/>
        <scheme val="minor"/>
      </rPr>
      <t>退貨</t>
    </r>
    <r>
      <rPr>
        <sz val="12"/>
        <color rgb="FFFF0000"/>
        <rFont val="新細明體"/>
        <charset val="136"/>
        <scheme val="minor"/>
      </rPr>
      <t xml:space="preserve"> 元</t>
    </r>
  </si>
  <si>
    <t>合計</t>
  </si>
  <si>
    <t>總計金額</t>
  </si>
  <si>
    <t>機器麵線</t>
  </si>
  <si>
    <t>115.7.3</t>
  </si>
  <si>
    <t>紅盤</t>
  </si>
  <si>
    <t>手工麵線</t>
  </si>
  <si>
    <t>盤箱</t>
  </si>
  <si>
    <t>115.7.6</t>
  </si>
  <si>
    <t>115.7.13</t>
  </si>
  <si>
    <t>115.7.22</t>
  </si>
  <si>
    <t>115.7.24</t>
  </si>
  <si>
    <t>115.7.31</t>
  </si>
  <si>
    <t>總共6張</t>
  </si>
  <si>
    <t xml:space="preserve">     盤箱</t>
  </si>
  <si>
    <t xml:space="preserve">        機</t>
  </si>
  <si>
    <t xml:space="preserve">   手</t>
  </si>
  <si>
    <t xml:space="preserve">   盤</t>
  </si>
  <si>
    <t xml:space="preserve">    雞</t>
  </si>
  <si>
    <t xml:space="preserve">     壽</t>
  </si>
  <si>
    <t xml:space="preserve">       退</t>
  </si>
  <si>
    <t>總金額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</si>
</sst>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23">
    <font>
      <sz val="12"/>
      <color theme="1"/>
      <name val="新細明體"/>
      <charset val="136"/>
      <scheme val="minor"/>
    </font>
    <font>
      <b/>
      <sz val="18"/>
      <color theme="1"/>
      <name val="新細明體"/>
      <charset val="136"/>
      <scheme val="minor"/>
    </font>
    <font>
      <sz val="12"/>
      <color rgb="FFFF0000"/>
      <name val="新細明體"/>
      <charset val="136"/>
      <scheme val="minor"/>
    </font>
    <font>
      <sz val="12"/>
      <color theme="1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F00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3"/>
      <color theme="3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15</xdr:row>
      <xdr:rowOff>0</xdr:rowOff>
    </xdr:from>
    <xdr:to>
      <xdr:col>6</xdr:col>
      <xdr:colOff>829310</xdr:colOff>
      <xdr:row>15</xdr:row>
      <xdr:rowOff>0</xdr:rowOff>
    </xdr:to>
    <xdr:cxnSp>
      <xdr:nvCxnSpPr>
        <xdr:cNvPr id="3" name="直線接點 2"/>
        <xdr:cNvCxnSpPr/>
      </xdr:nvCxnSpPr>
      <xdr:spPr>
        <a:xfrm>
          <a:off x="635" y="4000500"/>
          <a:ext cx="48672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635</xdr:colOff>
      <xdr:row>6</xdr:row>
      <xdr:rowOff>0</xdr:rowOff>
    </xdr:from>
    <xdr:to>
      <xdr:col>7</xdr:col>
      <xdr:colOff>10160</xdr:colOff>
      <xdr:row>6</xdr:row>
      <xdr:rowOff>0</xdr:rowOff>
    </xdr:to>
    <xdr:cxnSp>
      <xdr:nvCxnSpPr>
        <xdr:cNvPr id="6" name="直線接點 5"/>
        <xdr:cNvCxnSpPr/>
      </xdr:nvCxnSpPr>
      <xdr:spPr>
        <a:xfrm>
          <a:off x="635" y="1600200"/>
          <a:ext cx="49149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635</xdr:colOff>
      <xdr:row>12</xdr:row>
      <xdr:rowOff>0</xdr:rowOff>
    </xdr:from>
    <xdr:to>
      <xdr:col>7</xdr:col>
      <xdr:colOff>8890</xdr:colOff>
      <xdr:row>12</xdr:row>
      <xdr:rowOff>0</xdr:rowOff>
    </xdr:to>
    <xdr:cxnSp>
      <xdr:nvCxnSpPr>
        <xdr:cNvPr id="9" name="直線接點 8"/>
        <xdr:cNvCxnSpPr/>
      </xdr:nvCxnSpPr>
      <xdr:spPr>
        <a:xfrm>
          <a:off x="635" y="3200400"/>
          <a:ext cx="491363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438150</xdr:colOff>
      <xdr:row>16</xdr:row>
      <xdr:rowOff>66675</xdr:rowOff>
    </xdr:from>
    <xdr:to>
      <xdr:col>20</xdr:col>
      <xdr:colOff>542925</xdr:colOff>
      <xdr:row>16</xdr:row>
      <xdr:rowOff>66675</xdr:rowOff>
    </xdr:to>
    <xdr:cxnSp>
      <xdr:nvCxnSpPr>
        <xdr:cNvPr id="13" name="直線接點 12"/>
        <xdr:cNvCxnSpPr/>
      </xdr:nvCxnSpPr>
      <xdr:spPr>
        <a:xfrm>
          <a:off x="9458325" y="4333875"/>
          <a:ext cx="49053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635</xdr:colOff>
      <xdr:row>14</xdr:row>
      <xdr:rowOff>0</xdr:rowOff>
    </xdr:from>
    <xdr:to>
      <xdr:col>6</xdr:col>
      <xdr:colOff>838835</xdr:colOff>
      <xdr:row>14</xdr:row>
      <xdr:rowOff>0</xdr:rowOff>
    </xdr:to>
    <xdr:cxnSp>
      <xdr:nvCxnSpPr>
        <xdr:cNvPr id="17" name="直線接點 16"/>
        <xdr:cNvCxnSpPr/>
      </xdr:nvCxnSpPr>
      <xdr:spPr>
        <a:xfrm>
          <a:off x="635" y="3733800"/>
          <a:ext cx="48768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</xdr:row>
      <xdr:rowOff>0</xdr:rowOff>
    </xdr:from>
    <xdr:to>
      <xdr:col>7</xdr:col>
      <xdr:colOff>0</xdr:colOff>
      <xdr:row>3</xdr:row>
      <xdr:rowOff>1</xdr:rowOff>
    </xdr:to>
    <xdr:cxnSp>
      <xdr:nvCxnSpPr>
        <xdr:cNvPr id="20" name="直線接點 19"/>
        <xdr:cNvCxnSpPr/>
      </xdr:nvCxnSpPr>
      <xdr:spPr>
        <a:xfrm flipV="1">
          <a:off x="0" y="800100"/>
          <a:ext cx="49053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553720</xdr:colOff>
      <xdr:row>17</xdr:row>
      <xdr:rowOff>28575</xdr:rowOff>
    </xdr:from>
    <xdr:to>
      <xdr:col>20</xdr:col>
      <xdr:colOff>647700</xdr:colOff>
      <xdr:row>17</xdr:row>
      <xdr:rowOff>28575</xdr:rowOff>
    </xdr:to>
    <xdr:cxnSp>
      <xdr:nvCxnSpPr>
        <xdr:cNvPr id="24" name="直線接點 23"/>
        <xdr:cNvCxnSpPr/>
      </xdr:nvCxnSpPr>
      <xdr:spPr>
        <a:xfrm>
          <a:off x="9573895" y="4562475"/>
          <a:ext cx="489458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601345</xdr:colOff>
      <xdr:row>14</xdr:row>
      <xdr:rowOff>104775</xdr:rowOff>
    </xdr:from>
    <xdr:to>
      <xdr:col>20</xdr:col>
      <xdr:colOff>658495</xdr:colOff>
      <xdr:row>14</xdr:row>
      <xdr:rowOff>104776</xdr:rowOff>
    </xdr:to>
    <xdr:cxnSp>
      <xdr:nvCxnSpPr>
        <xdr:cNvPr id="27" name="直線接點 26"/>
        <xdr:cNvCxnSpPr/>
      </xdr:nvCxnSpPr>
      <xdr:spPr>
        <a:xfrm>
          <a:off x="9621520" y="3838575"/>
          <a:ext cx="48577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635</xdr:colOff>
      <xdr:row>8</xdr:row>
      <xdr:rowOff>0</xdr:rowOff>
    </xdr:from>
    <xdr:to>
      <xdr:col>6</xdr:col>
      <xdr:colOff>848360</xdr:colOff>
      <xdr:row>8</xdr:row>
      <xdr:rowOff>0</xdr:rowOff>
    </xdr:to>
    <xdr:cxnSp>
      <xdr:nvCxnSpPr>
        <xdr:cNvPr id="30" name="直線接點 29"/>
        <xdr:cNvCxnSpPr/>
      </xdr:nvCxnSpPr>
      <xdr:spPr>
        <a:xfrm>
          <a:off x="635" y="2133600"/>
          <a:ext cx="488632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58420</xdr:colOff>
      <xdr:row>13</xdr:row>
      <xdr:rowOff>95250</xdr:rowOff>
    </xdr:from>
    <xdr:to>
      <xdr:col>20</xdr:col>
      <xdr:colOff>172720</xdr:colOff>
      <xdr:row>13</xdr:row>
      <xdr:rowOff>95250</xdr:rowOff>
    </xdr:to>
    <xdr:cxnSp>
      <xdr:nvCxnSpPr>
        <xdr:cNvPr id="34" name="直線接點 33"/>
        <xdr:cNvCxnSpPr/>
      </xdr:nvCxnSpPr>
      <xdr:spPr>
        <a:xfrm>
          <a:off x="9078595" y="3562350"/>
          <a:ext cx="49149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134620</xdr:colOff>
      <xdr:row>13</xdr:row>
      <xdr:rowOff>219075</xdr:rowOff>
    </xdr:from>
    <xdr:to>
      <xdr:col>20</xdr:col>
      <xdr:colOff>220345</xdr:colOff>
      <xdr:row>13</xdr:row>
      <xdr:rowOff>219075</xdr:rowOff>
    </xdr:to>
    <xdr:cxnSp>
      <xdr:nvCxnSpPr>
        <xdr:cNvPr id="38" name="直線接點 37"/>
        <xdr:cNvCxnSpPr/>
      </xdr:nvCxnSpPr>
      <xdr:spPr>
        <a:xfrm>
          <a:off x="9154795" y="3686175"/>
          <a:ext cx="488632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635</xdr:colOff>
      <xdr:row>18</xdr:row>
      <xdr:rowOff>0</xdr:rowOff>
    </xdr:from>
    <xdr:to>
      <xdr:col>6</xdr:col>
      <xdr:colOff>848360</xdr:colOff>
      <xdr:row>18</xdr:row>
      <xdr:rowOff>0</xdr:rowOff>
    </xdr:to>
    <xdr:cxnSp>
      <xdr:nvCxnSpPr>
        <xdr:cNvPr id="4" name="直線接點 3"/>
        <xdr:cNvCxnSpPr/>
      </xdr:nvCxnSpPr>
      <xdr:spPr>
        <a:xfrm>
          <a:off x="635" y="4800600"/>
          <a:ext cx="488632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601345</xdr:colOff>
      <xdr:row>15</xdr:row>
      <xdr:rowOff>104775</xdr:rowOff>
    </xdr:from>
    <xdr:to>
      <xdr:col>20</xdr:col>
      <xdr:colOff>668020</xdr:colOff>
      <xdr:row>15</xdr:row>
      <xdr:rowOff>104775</xdr:rowOff>
    </xdr:to>
    <xdr:cxnSp>
      <xdr:nvCxnSpPr>
        <xdr:cNvPr id="11" name="直線接點 10"/>
        <xdr:cNvCxnSpPr/>
      </xdr:nvCxnSpPr>
      <xdr:spPr>
        <a:xfrm>
          <a:off x="9621520" y="4105275"/>
          <a:ext cx="48672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0"/>
  <sheetViews>
    <sheetView tabSelected="1" workbookViewId="0">
      <selection activeCell="A1" sqref="A1:G25"/>
    </sheetView>
  </sheetViews>
  <sheetFormatPr defaultColWidth="9" defaultRowHeight="16.5"/>
  <cols>
    <col min="1" max="1" width="10.375" customWidth="1"/>
    <col min="2" max="2" width="10.75" customWidth="1"/>
    <col min="3" max="3" width="7.125" customWidth="1"/>
    <col min="4" max="4" width="7.375" customWidth="1"/>
    <col min="5" max="5" width="8.375" customWidth="1"/>
    <col min="7" max="7" width="11.375" customWidth="1"/>
  </cols>
  <sheetData>
    <row r="1" ht="21" customHeight="1" spans="1:11">
      <c r="A1" t="s">
        <v>0</v>
      </c>
      <c r="C1" s="1" t="s">
        <v>1</v>
      </c>
      <c r="J1" t="s">
        <v>2</v>
      </c>
      <c r="K1" s="2">
        <v>375</v>
      </c>
    </row>
    <row r="2" ht="21" customHeight="1" spans="1:11">
      <c r="A2" t="s">
        <v>3</v>
      </c>
      <c r="B2" t="s">
        <v>4</v>
      </c>
      <c r="J2" t="s">
        <v>5</v>
      </c>
      <c r="K2" s="2">
        <v>300</v>
      </c>
    </row>
    <row r="3" ht="21" customHeight="1" spans="1:11">
      <c r="A3" t="s">
        <v>6</v>
      </c>
      <c r="B3" t="s">
        <v>7</v>
      </c>
      <c r="C3" t="s">
        <v>8</v>
      </c>
      <c r="D3" t="s">
        <v>9</v>
      </c>
      <c r="E3" t="s">
        <v>10</v>
      </c>
      <c r="F3" t="s">
        <v>11</v>
      </c>
      <c r="G3" t="s">
        <v>12</v>
      </c>
      <c r="J3" t="s">
        <v>13</v>
      </c>
      <c r="K3" s="2">
        <v>240</v>
      </c>
    </row>
    <row r="4" ht="21" customHeight="1" spans="1:11">
      <c r="A4" t="s">
        <v>14</v>
      </c>
      <c r="B4" t="s">
        <v>13</v>
      </c>
      <c r="C4">
        <v>20</v>
      </c>
      <c r="D4">
        <v>240</v>
      </c>
      <c r="F4">
        <f t="shared" ref="F4:F20" si="0">C4*D4</f>
        <v>4800</v>
      </c>
      <c r="I4" t="s">
        <v>15</v>
      </c>
      <c r="J4" t="s">
        <v>15</v>
      </c>
      <c r="K4" s="2">
        <v>640</v>
      </c>
    </row>
    <row r="5" ht="21" customHeight="1" spans="1:11">
      <c r="B5" t="s">
        <v>16</v>
      </c>
      <c r="C5">
        <v>15</v>
      </c>
      <c r="D5">
        <v>400</v>
      </c>
      <c r="F5">
        <f t="shared" si="0"/>
        <v>6000</v>
      </c>
      <c r="J5" t="s">
        <v>16</v>
      </c>
      <c r="K5" s="2">
        <v>400</v>
      </c>
    </row>
    <row r="6" ht="21" customHeight="1" spans="1:11">
      <c r="B6" t="s">
        <v>16</v>
      </c>
      <c r="C6">
        <v>1</v>
      </c>
      <c r="D6">
        <v>400</v>
      </c>
      <c r="E6" s="2"/>
      <c r="F6">
        <f t="shared" si="0"/>
        <v>400</v>
      </c>
      <c r="G6">
        <f>F4+F5+F6</f>
        <v>11200</v>
      </c>
      <c r="J6" t="s">
        <v>17</v>
      </c>
      <c r="K6" s="2">
        <v>320</v>
      </c>
    </row>
    <row r="7" ht="21" customHeight="1" spans="1:11">
      <c r="A7" t="s">
        <v>18</v>
      </c>
      <c r="B7" t="s">
        <v>16</v>
      </c>
      <c r="C7">
        <v>20</v>
      </c>
      <c r="D7">
        <v>400</v>
      </c>
      <c r="E7" s="2"/>
      <c r="F7">
        <f t="shared" si="0"/>
        <v>8000</v>
      </c>
    </row>
    <row r="8" ht="21" customHeight="1" spans="1:11">
      <c r="B8" t="s">
        <v>15</v>
      </c>
      <c r="C8">
        <v>2</v>
      </c>
      <c r="D8">
        <v>640</v>
      </c>
      <c r="E8" s="2"/>
      <c r="F8">
        <f t="shared" si="0"/>
        <v>1280</v>
      </c>
      <c r="G8">
        <f>F7+F8</f>
        <v>9280</v>
      </c>
    </row>
    <row r="9" ht="21" customHeight="1" spans="1:11">
      <c r="A9" t="s">
        <v>19</v>
      </c>
      <c r="B9" t="s">
        <v>15</v>
      </c>
      <c r="C9">
        <v>4</v>
      </c>
      <c r="D9">
        <v>640</v>
      </c>
      <c r="F9">
        <f t="shared" si="0"/>
        <v>2560</v>
      </c>
    </row>
    <row r="10" ht="21" customHeight="1" spans="1:11">
      <c r="B10" t="s">
        <v>16</v>
      </c>
      <c r="C10">
        <v>10</v>
      </c>
      <c r="D10">
        <v>400</v>
      </c>
      <c r="E10" s="2"/>
      <c r="F10">
        <f t="shared" si="0"/>
        <v>4000</v>
      </c>
    </row>
    <row r="11" ht="21" customHeight="1" spans="1:11">
      <c r="B11" t="s">
        <v>2</v>
      </c>
      <c r="C11">
        <v>2</v>
      </c>
      <c r="D11">
        <v>375</v>
      </c>
      <c r="E11" s="2"/>
      <c r="F11">
        <f t="shared" si="0"/>
        <v>750</v>
      </c>
    </row>
    <row r="12" ht="21" customHeight="1" spans="1:11">
      <c r="B12" t="s">
        <v>13</v>
      </c>
      <c r="C12">
        <v>10</v>
      </c>
      <c r="D12">
        <v>240</v>
      </c>
      <c r="E12" s="2"/>
      <c r="F12">
        <f t="shared" si="0"/>
        <v>2400</v>
      </c>
      <c r="G12">
        <f>F9+F10+F11+F12</f>
        <v>9710</v>
      </c>
    </row>
    <row r="13" ht="21" customHeight="1" spans="1:11">
      <c r="A13" t="s">
        <v>20</v>
      </c>
      <c r="B13" t="s">
        <v>16</v>
      </c>
      <c r="C13">
        <v>10</v>
      </c>
      <c r="D13">
        <v>400</v>
      </c>
      <c r="E13" s="2"/>
      <c r="F13">
        <f t="shared" si="0"/>
        <v>4000</v>
      </c>
    </row>
    <row r="14" ht="21" customHeight="1" spans="1:11">
      <c r="B14" t="s">
        <v>13</v>
      </c>
      <c r="C14">
        <v>20</v>
      </c>
      <c r="D14">
        <v>240</v>
      </c>
      <c r="E14" s="2"/>
      <c r="F14">
        <f t="shared" si="0"/>
        <v>4800</v>
      </c>
      <c r="G14">
        <f>F13+F14</f>
        <v>8800</v>
      </c>
    </row>
    <row r="15" ht="21" customHeight="1" spans="1:11">
      <c r="A15" t="s">
        <v>21</v>
      </c>
      <c r="B15" t="s">
        <v>16</v>
      </c>
      <c r="C15">
        <v>21</v>
      </c>
      <c r="D15">
        <v>400</v>
      </c>
      <c r="E15" s="2"/>
      <c r="F15">
        <f t="shared" si="0"/>
        <v>8400</v>
      </c>
      <c r="G15">
        <f>F15</f>
        <v>8400</v>
      </c>
    </row>
    <row r="16" ht="21" customHeight="1" spans="1:11">
      <c r="A16" t="s">
        <v>22</v>
      </c>
      <c r="B16" t="s">
        <v>16</v>
      </c>
      <c r="C16">
        <v>15</v>
      </c>
      <c r="D16">
        <v>400</v>
      </c>
      <c r="E16" s="2"/>
      <c r="F16">
        <f t="shared" si="0"/>
        <v>6000</v>
      </c>
    </row>
    <row r="17" ht="21" customHeight="1" spans="1:11">
      <c r="B17" t="s">
        <v>13</v>
      </c>
      <c r="C17">
        <v>10</v>
      </c>
      <c r="D17">
        <v>240</v>
      </c>
      <c r="E17" s="2"/>
      <c r="F17">
        <f t="shared" si="0"/>
        <v>2400</v>
      </c>
    </row>
    <row r="18" ht="21" customHeight="1" spans="1:11">
      <c r="B18" t="s">
        <v>15</v>
      </c>
      <c r="C18">
        <v>2</v>
      </c>
      <c r="D18">
        <v>640</v>
      </c>
      <c r="E18" s="2"/>
      <c r="F18">
        <f t="shared" si="0"/>
        <v>1280</v>
      </c>
      <c r="G18">
        <f>F16+F17+F18</f>
        <v>9680</v>
      </c>
    </row>
    <row r="19" ht="21" customHeight="1" spans="1:11">
      <c r="F19" t="s">
        <v>23</v>
      </c>
      <c r="G19">
        <f>G6+G8+G12+G14+G15+G18</f>
        <v>57070</v>
      </c>
    </row>
    <row r="20" ht="21" customHeight="1"/>
    <row r="21" ht="21" customHeight="1" spans="1:11">
      <c r="A21" t="s">
        <v>24</v>
      </c>
      <c r="B21" t="s">
        <v>25</v>
      </c>
      <c r="C21" t="s">
        <v>26</v>
      </c>
      <c r="D21" t="s">
        <v>27</v>
      </c>
      <c r="E21" t="s">
        <v>28</v>
      </c>
      <c r="F21" t="s">
        <v>29</v>
      </c>
      <c r="G21" s="2" t="s">
        <v>30</v>
      </c>
    </row>
    <row r="22" ht="21" customHeight="1" spans="1:11">
      <c r="B22">
        <f>C4+C12+C14+C17</f>
        <v>60</v>
      </c>
      <c r="C22">
        <f>C5+C6+C7+C10+C13+C15+C16</f>
        <v>92</v>
      </c>
      <c r="D22">
        <f>C8+C9+C18</f>
        <v>8</v>
      </c>
      <c r="E22">
        <f>C11</f>
        <v>2</v>
      </c>
      <c r="K22" s="2"/>
    </row>
    <row r="23" ht="21" customHeight="1" spans="1:11">
      <c r="B23">
        <f>B22*D17</f>
        <v>14400</v>
      </c>
      <c r="C23">
        <f>C22*D16</f>
        <v>36800</v>
      </c>
      <c r="D23">
        <f>D22*D18</f>
        <v>5120</v>
      </c>
      <c r="E23">
        <f>E22*D11</f>
        <v>750</v>
      </c>
    </row>
    <row r="24" ht="21" customHeight="1"/>
    <row r="25" ht="21" customHeight="1" spans="1:11">
      <c r="A25" t="s">
        <v>31</v>
      </c>
      <c r="B25">
        <f>B23+C23+D23+E23</f>
        <v>57070</v>
      </c>
    </row>
    <row r="26" ht="21" customHeight="1"/>
    <row r="27" ht="21" customHeight="1"/>
    <row r="28" ht="21" customHeight="1"/>
    <row r="29" ht="21" customHeight="1"/>
    <row r="30" ht="21" customHeight="1"/>
    <row r="31" ht="21" customHeight="1"/>
    <row r="32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 spans="7:7">
      <c r="G41" s="2"/>
    </row>
    <row r="42" ht="21" customHeight="1" spans="7:7">
      <c r="G42" s="2"/>
    </row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</sheetData>
  <pageMargins left="0.708661417322835" right="0.708661417322835" top="0.748031496062992" bottom="0.748031496062992" header="0.31496062992126" footer="0.31496062992126"/>
  <pageSetup paperSize="9" scale="130" orientation="portrait" horizontalDpi="360" verticalDpi="36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范棋華</cp:lastModifiedBy>
  <dcterms:created xsi:type="dcterms:W3CDTF">2022-10-24T11:23:00Z</dcterms:created>
  <cp:lastPrinted>2026-01-04T10:04:00Z</cp:lastPrinted>
  <dcterms:modified xsi:type="dcterms:W3CDTF">2026-08-04T12:12:23Z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3076-12.1.0.26880</vt:lpwstr>
  </property>
  <property fmtid="{D5CDD505-2E9C-101B-9397-08002B2CF9AE}" pid="3" name="CalculationRule">
    <vt:i4>0</vt:i4>
  </property>
  <property fmtid="{D5CDD505-2E9C-101B-9397-08002B2CF9AE}" pid="4" name="ICV">
    <vt:lpwstr>CFB7E699E5D248909E61D15835CF7FEA_12</vt:lpwstr>
  </property>
</Properties>
</file>