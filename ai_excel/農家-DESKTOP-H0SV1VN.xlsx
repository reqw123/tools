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tools\ai_excel\"/>
    </mc:Choice>
  </mc:AlternateContent>
  <xr:revisionPtr revIDLastSave="0" documentId="13_ncr:1_{8BEF1030-026A-45DA-AF4F-3E591B6EF60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  <c r="G9" i="1"/>
  <c r="G6" i="1"/>
  <c r="F12" i="1"/>
  <c r="F11" i="1"/>
  <c r="F10" i="1"/>
  <c r="E16" i="1"/>
  <c r="E17" i="1" s="1"/>
  <c r="D16" i="1"/>
  <c r="D17" i="1" s="1"/>
  <c r="C16" i="1"/>
  <c r="C17" i="1" s="1"/>
  <c r="B16" i="1"/>
  <c r="B17" i="1" s="1"/>
  <c r="F9" i="1"/>
  <c r="F8" i="1"/>
  <c r="F7" i="1"/>
  <c r="F6" i="1"/>
  <c r="F5" i="1"/>
  <c r="F4" i="1"/>
  <c r="B19" i="1" l="1"/>
</calcChain>
</file>

<file path=xl/sharedStrings.xml><?xml version="1.0" encoding="utf-8"?>
<sst xmlns="http://schemas.openxmlformats.org/spreadsheetml/2006/main" count="39" uniqueCount="29">
  <si>
    <t>客戶名稱</t>
  </si>
  <si>
    <t xml:space="preserve">   農  家</t>
  </si>
  <si>
    <t>雞絲麵</t>
  </si>
  <si>
    <t>對帳日期</t>
  </si>
  <si>
    <t>115.7.3~7.31</t>
  </si>
  <si>
    <t>壽麵</t>
  </si>
  <si>
    <t>貨單日期</t>
  </si>
  <si>
    <t>貨單名稱</t>
  </si>
  <si>
    <t>數量</t>
  </si>
  <si>
    <t>單價</t>
  </si>
  <si>
    <r>
      <rPr>
        <sz val="12"/>
        <color theme="1"/>
        <rFont val="新細明體"/>
        <charset val="136"/>
        <scheme val="minor"/>
      </rPr>
      <t>退貨</t>
    </r>
    <r>
      <rPr>
        <sz val="12"/>
        <color rgb="FFFF0000"/>
        <rFont val="新細明體"/>
        <charset val="136"/>
        <scheme val="minor"/>
      </rPr>
      <t xml:space="preserve"> 元</t>
    </r>
  </si>
  <si>
    <t>合計</t>
  </si>
  <si>
    <t>總計金額</t>
  </si>
  <si>
    <t>機器麵線</t>
  </si>
  <si>
    <t>115.7.3</t>
  </si>
  <si>
    <t>紅盤</t>
  </si>
  <si>
    <t>手工麵線</t>
  </si>
  <si>
    <t>盤箱</t>
  </si>
  <si>
    <t>115.7.31</t>
  </si>
  <si>
    <t>總共6張</t>
  </si>
  <si>
    <t xml:space="preserve">     盤箱</t>
  </si>
  <si>
    <t xml:space="preserve">        機</t>
  </si>
  <si>
    <t xml:space="preserve">   手</t>
  </si>
  <si>
    <t xml:space="preserve">   盤</t>
  </si>
  <si>
    <t xml:space="preserve">    雞</t>
  </si>
  <si>
    <t xml:space="preserve">     壽</t>
  </si>
  <si>
    <t xml:space="preserve">       退</t>
  </si>
  <si>
    <t>總金額</t>
  </si>
  <si>
    <t>115.8.20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</si>
</sst>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charset val="136"/>
      <scheme val="minor"/>
    </font>
    <font>
      <b/>
      <sz val="18"/>
      <color theme="1"/>
      <name val="新細明體"/>
      <charset val="136"/>
      <scheme val="minor"/>
    </font>
    <font>
      <sz val="12"/>
      <color rgb="FFFF0000"/>
      <name val="新細明體"/>
      <charset val="136"/>
      <scheme val="minor"/>
    </font>
    <font>
      <sz val="9"/>
      <name val="新細明體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6</xdr:row>
      <xdr:rowOff>0</xdr:rowOff>
    </xdr:from>
    <xdr:to>
      <xdr:col>6</xdr:col>
      <xdr:colOff>829310</xdr:colOff>
      <xdr:row>6</xdr:row>
      <xdr:rowOff>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35" y="4000500"/>
          <a:ext cx="4867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6</xdr:row>
      <xdr:rowOff>0</xdr:rowOff>
    </xdr:from>
    <xdr:to>
      <xdr:col>7</xdr:col>
      <xdr:colOff>10160</xdr:colOff>
      <xdr:row>6</xdr:row>
      <xdr:rowOff>0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35" y="1600200"/>
          <a:ext cx="4914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6</xdr:row>
      <xdr:rowOff>0</xdr:rowOff>
    </xdr:from>
    <xdr:to>
      <xdr:col>7</xdr:col>
      <xdr:colOff>8890</xdr:colOff>
      <xdr:row>6</xdr:row>
      <xdr:rowOff>0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635" y="3200400"/>
          <a:ext cx="49136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438150</xdr:colOff>
      <xdr:row>7</xdr:row>
      <xdr:rowOff>66675</xdr:rowOff>
    </xdr:from>
    <xdr:to>
      <xdr:col>20</xdr:col>
      <xdr:colOff>542925</xdr:colOff>
      <xdr:row>7</xdr:row>
      <xdr:rowOff>66675</xdr:rowOff>
    </xdr:to>
    <xdr:cxnSp macro="">
      <xdr:nvCxnSpPr>
        <xdr:cNvPr id="13" name="直線接點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9458325" y="4333875"/>
          <a:ext cx="49053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6</xdr:row>
      <xdr:rowOff>0</xdr:rowOff>
    </xdr:from>
    <xdr:to>
      <xdr:col>6</xdr:col>
      <xdr:colOff>838835</xdr:colOff>
      <xdr:row>6</xdr:row>
      <xdr:rowOff>0</xdr:rowOff>
    </xdr:to>
    <xdr:cxnSp macro="">
      <xdr:nvCxnSpPr>
        <xdr:cNvPr id="17" name="直線接點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635" y="3733800"/>
          <a:ext cx="4876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0</xdr:rowOff>
    </xdr:from>
    <xdr:to>
      <xdr:col>7</xdr:col>
      <xdr:colOff>0</xdr:colOff>
      <xdr:row>3</xdr:row>
      <xdr:rowOff>1</xdr:rowOff>
    </xdr:to>
    <xdr:cxnSp macro="">
      <xdr:nvCxnSpPr>
        <xdr:cNvPr id="20" name="直線接點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0" y="800100"/>
          <a:ext cx="49053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553720</xdr:colOff>
      <xdr:row>8</xdr:row>
      <xdr:rowOff>28575</xdr:rowOff>
    </xdr:from>
    <xdr:to>
      <xdr:col>20</xdr:col>
      <xdr:colOff>647700</xdr:colOff>
      <xdr:row>8</xdr:row>
      <xdr:rowOff>28575</xdr:rowOff>
    </xdr:to>
    <xdr:cxnSp macro="">
      <xdr:nvCxnSpPr>
        <xdr:cNvPr id="24" name="直線接點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9573895" y="4562475"/>
          <a:ext cx="48945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6</xdr:row>
      <xdr:rowOff>0</xdr:rowOff>
    </xdr:from>
    <xdr:to>
      <xdr:col>6</xdr:col>
      <xdr:colOff>848360</xdr:colOff>
      <xdr:row>6</xdr:row>
      <xdr:rowOff>0</xdr:rowOff>
    </xdr:to>
    <xdr:cxnSp macro="">
      <xdr:nvCxnSpPr>
        <xdr:cNvPr id="30" name="直線接點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635" y="2133600"/>
          <a:ext cx="4886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12</xdr:row>
      <xdr:rowOff>0</xdr:rowOff>
    </xdr:from>
    <xdr:to>
      <xdr:col>6</xdr:col>
      <xdr:colOff>848360</xdr:colOff>
      <xdr:row>12</xdr:row>
      <xdr:rowOff>0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635" y="4800600"/>
          <a:ext cx="4886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601345</xdr:colOff>
      <xdr:row>6</xdr:row>
      <xdr:rowOff>104775</xdr:rowOff>
    </xdr:from>
    <xdr:to>
      <xdr:col>20</xdr:col>
      <xdr:colOff>668020</xdr:colOff>
      <xdr:row>6</xdr:row>
      <xdr:rowOff>104775</xdr:rowOff>
    </xdr:to>
    <xdr:cxnSp macro="">
      <xdr:nvCxnSpPr>
        <xdr:cNvPr id="11" name="直線接點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9621520" y="4105275"/>
          <a:ext cx="4867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selection activeCell="E19" sqref="E19"/>
    </sheetView>
  </sheetViews>
  <sheetFormatPr defaultColWidth="9" defaultRowHeight="16.5" x14ac:dyDescent="0.25"/>
  <cols>
    <col min="1" max="1" width="10.375" customWidth="1"/>
    <col min="2" max="2" width="10.75" customWidth="1"/>
    <col min="3" max="3" width="7.125" customWidth="1"/>
    <col min="4" max="4" width="7.375" customWidth="1"/>
    <col min="5" max="5" width="8.375" customWidth="1"/>
    <col min="7" max="7" width="11.375" customWidth="1"/>
  </cols>
  <sheetData>
    <row r="1" spans="1:11" ht="21" customHeight="1" x14ac:dyDescent="0.25">
      <c r="A1" t="s">
        <v>0</v>
      </c>
      <c r="C1" s="1" t="s">
        <v>1</v>
      </c>
      <c r="J1" t="s">
        <v>2</v>
      </c>
      <c r="K1" s="2">
        <v>375</v>
      </c>
    </row>
    <row r="2" spans="1:11" ht="21" customHeight="1" x14ac:dyDescent="0.25">
      <c r="A2" t="s">
        <v>3</v>
      </c>
      <c r="B2" t="s">
        <v>4</v>
      </c>
      <c r="J2" t="s">
        <v>5</v>
      </c>
      <c r="K2" s="2">
        <v>300</v>
      </c>
    </row>
    <row r="3" spans="1:11" ht="21" customHeight="1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J3" t="s">
        <v>13</v>
      </c>
      <c r="K3" s="2">
        <v>240</v>
      </c>
    </row>
    <row r="4" spans="1:11" ht="21" customHeight="1" x14ac:dyDescent="0.25">
      <c r="A4" t="s">
        <v>14</v>
      </c>
      <c r="B4" t="s">
        <v>13</v>
      </c>
      <c r="C4">
        <v>20</v>
      </c>
      <c r="D4">
        <v>240</v>
      </c>
      <c r="F4">
        <f t="shared" ref="F4:F9" si="0">C4*D4</f>
        <v>4800</v>
      </c>
      <c r="I4" t="s">
        <v>15</v>
      </c>
      <c r="J4" t="s">
        <v>15</v>
      </c>
      <c r="K4" s="2">
        <v>640</v>
      </c>
    </row>
    <row r="5" spans="1:11" ht="21" customHeight="1" x14ac:dyDescent="0.25">
      <c r="B5" t="s">
        <v>16</v>
      </c>
      <c r="C5">
        <v>15</v>
      </c>
      <c r="D5">
        <v>400</v>
      </c>
      <c r="F5">
        <f t="shared" si="0"/>
        <v>6000</v>
      </c>
      <c r="J5" t="s">
        <v>16</v>
      </c>
      <c r="K5" s="2">
        <v>400</v>
      </c>
    </row>
    <row r="6" spans="1:11" ht="21" customHeight="1" x14ac:dyDescent="0.25">
      <c r="B6" t="s">
        <v>16</v>
      </c>
      <c r="C6">
        <v>1</v>
      </c>
      <c r="D6">
        <v>400</v>
      </c>
      <c r="E6" s="2"/>
      <c r="F6">
        <f t="shared" si="0"/>
        <v>400</v>
      </c>
      <c r="G6">
        <f>F4+F5+F6</f>
        <v>11200</v>
      </c>
      <c r="J6" t="s">
        <v>17</v>
      </c>
      <c r="K6" s="2">
        <v>320</v>
      </c>
    </row>
    <row r="7" spans="1:11" ht="21" customHeight="1" x14ac:dyDescent="0.25">
      <c r="A7" t="s">
        <v>18</v>
      </c>
      <c r="B7" t="s">
        <v>16</v>
      </c>
      <c r="C7">
        <v>15</v>
      </c>
      <c r="D7">
        <v>400</v>
      </c>
      <c r="E7" s="2"/>
      <c r="F7">
        <f t="shared" si="0"/>
        <v>6000</v>
      </c>
    </row>
    <row r="8" spans="1:11" ht="21" customHeight="1" x14ac:dyDescent="0.25">
      <c r="B8" t="s">
        <v>13</v>
      </c>
      <c r="C8">
        <v>10</v>
      </c>
      <c r="D8">
        <v>240</v>
      </c>
      <c r="E8" s="2"/>
      <c r="F8">
        <f t="shared" si="0"/>
        <v>2400</v>
      </c>
    </row>
    <row r="9" spans="1:11" ht="21" customHeight="1" x14ac:dyDescent="0.25">
      <c r="B9" t="s">
        <v>15</v>
      </c>
      <c r="C9">
        <v>2</v>
      </c>
      <c r="D9">
        <v>640</v>
      </c>
      <c r="E9" s="2"/>
      <c r="F9">
        <f t="shared" si="0"/>
        <v>1280</v>
      </c>
      <c r="G9">
        <f>F7+F8+F9</f>
        <v>9680</v>
      </c>
    </row>
    <row r="10" spans="1:11" ht="21" customHeight="1" x14ac:dyDescent="0.25">
      <c r="A10" t="s">
        <v>28</v>
      </c>
      <c r="B10" t="s">
        <v>16</v>
      </c>
      <c r="C10">
        <v>24</v>
      </c>
      <c r="D10">
        <v>400</v>
      </c>
      <c r="E10" s="2">
        <v>24</v>
      </c>
      <c r="F10">
        <f>C10*D10</f>
        <v>9600</v>
      </c>
    </row>
    <row r="11" spans="1:11" ht="21" customHeight="1" x14ac:dyDescent="0.25">
      <c r="B11" t="s">
        <v>13</v>
      </c>
      <c r="C11">
        <v>24</v>
      </c>
      <c r="D11">
        <v>240</v>
      </c>
      <c r="E11" s="2">
        <v>24</v>
      </c>
      <c r="F11">
        <f>C11*D11</f>
        <v>5760</v>
      </c>
    </row>
    <row r="12" spans="1:11" ht="21" customHeight="1" x14ac:dyDescent="0.25">
      <c r="B12" t="s">
        <v>15</v>
      </c>
      <c r="C12">
        <v>24</v>
      </c>
      <c r="D12">
        <v>640</v>
      </c>
      <c r="E12" s="2">
        <v>0</v>
      </c>
      <c r="F12">
        <f>C12*D12</f>
        <v>15360</v>
      </c>
      <c r="G12">
        <f>F10+F11+F12</f>
        <v>30720</v>
      </c>
    </row>
    <row r="13" spans="1:11" ht="21" customHeight="1" x14ac:dyDescent="0.25">
      <c r="F13" t="s">
        <v>19</v>
      </c>
      <c r="G13">
        <f>G6+G9+G12</f>
        <v>51600</v>
      </c>
    </row>
    <row r="14" spans="1:11" ht="21" customHeight="1" x14ac:dyDescent="0.25"/>
    <row r="15" spans="1:11" ht="21" customHeight="1" x14ac:dyDescent="0.2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s="2" t="s">
        <v>26</v>
      </c>
    </row>
    <row r="16" spans="1:11" ht="21" customHeight="1" x14ac:dyDescent="0.25">
      <c r="B16" t="e">
        <f>C4+#REF!+#REF!+C8</f>
        <v>#REF!</v>
      </c>
      <c r="C16" t="e">
        <f>C5+C6+#REF!+#REF!+#REF!+#REF!+C7</f>
        <v>#REF!</v>
      </c>
      <c r="D16" t="e">
        <f>#REF!+#REF!+C9</f>
        <v>#REF!</v>
      </c>
      <c r="E16" t="e">
        <f>#REF!</f>
        <v>#REF!</v>
      </c>
      <c r="K16" s="2"/>
    </row>
    <row r="17" spans="1:5" ht="21" customHeight="1" x14ac:dyDescent="0.25">
      <c r="B17" t="e">
        <f>B16*D8</f>
        <v>#REF!</v>
      </c>
      <c r="C17" t="e">
        <f>C16*D7</f>
        <v>#REF!</v>
      </c>
      <c r="D17" t="e">
        <f>D16*D9</f>
        <v>#REF!</v>
      </c>
      <c r="E17" t="e">
        <f>E16*#REF!</f>
        <v>#REF!</v>
      </c>
    </row>
    <row r="18" spans="1:5" ht="21" customHeight="1" x14ac:dyDescent="0.25"/>
    <row r="19" spans="1:5" ht="21" customHeight="1" x14ac:dyDescent="0.25">
      <c r="A19" t="s">
        <v>27</v>
      </c>
      <c r="B19" t="e">
        <f>B17+C17+D17+E17</f>
        <v>#REF!</v>
      </c>
    </row>
    <row r="20" spans="1:5" ht="21" customHeight="1" x14ac:dyDescent="0.25"/>
    <row r="21" spans="1:5" ht="21" customHeight="1" x14ac:dyDescent="0.25"/>
    <row r="22" spans="1:5" ht="21" customHeight="1" x14ac:dyDescent="0.25"/>
    <row r="23" spans="1:5" ht="21" customHeight="1" x14ac:dyDescent="0.25"/>
    <row r="24" spans="1:5" ht="21" customHeight="1" x14ac:dyDescent="0.25"/>
    <row r="25" spans="1:5" ht="21" customHeight="1" x14ac:dyDescent="0.25"/>
    <row r="26" spans="1:5" ht="21" customHeight="1" x14ac:dyDescent="0.25"/>
    <row r="27" spans="1:5" ht="21" customHeight="1" x14ac:dyDescent="0.25"/>
    <row r="28" spans="1:5" ht="21" customHeight="1" x14ac:dyDescent="0.25"/>
    <row r="29" spans="1:5" ht="21" customHeight="1" x14ac:dyDescent="0.25"/>
    <row r="30" spans="1:5" ht="21" customHeight="1" x14ac:dyDescent="0.25"/>
    <row r="31" spans="1:5" ht="21" customHeight="1" x14ac:dyDescent="0.25"/>
    <row r="32" spans="1:5" ht="21" customHeight="1" x14ac:dyDescent="0.25"/>
    <row r="33" spans="7:7" ht="21" customHeight="1" x14ac:dyDescent="0.25"/>
    <row r="34" spans="7:7" ht="21" customHeight="1" x14ac:dyDescent="0.25"/>
    <row r="35" spans="7:7" ht="21" customHeight="1" x14ac:dyDescent="0.25">
      <c r="G35" s="2"/>
    </row>
    <row r="36" spans="7:7" ht="21" customHeight="1" x14ac:dyDescent="0.25">
      <c r="G36" s="2"/>
    </row>
    <row r="37" spans="7:7" ht="21" customHeight="1" x14ac:dyDescent="0.25"/>
    <row r="38" spans="7:7" ht="21" customHeight="1" x14ac:dyDescent="0.25"/>
    <row r="39" spans="7:7" ht="21" customHeight="1" x14ac:dyDescent="0.25"/>
    <row r="40" spans="7:7" ht="21" customHeight="1" x14ac:dyDescent="0.25"/>
    <row r="41" spans="7:7" ht="21" customHeight="1" x14ac:dyDescent="0.25"/>
    <row r="42" spans="7:7" ht="21" customHeight="1" x14ac:dyDescent="0.25"/>
    <row r="43" spans="7:7" ht="21" customHeight="1" x14ac:dyDescent="0.25"/>
    <row r="44" spans="7:7" ht="21" customHeight="1" x14ac:dyDescent="0.25"/>
    <row r="45" spans="7:7" ht="21" customHeight="1" x14ac:dyDescent="0.25"/>
    <row r="46" spans="7:7" ht="21" customHeight="1" x14ac:dyDescent="0.25"/>
    <row r="47" spans="7:7" ht="21" customHeight="1" x14ac:dyDescent="0.25"/>
    <row r="48" spans="7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  <row r="54" ht="21" customHeight="1" x14ac:dyDescent="0.25"/>
  </sheetData>
  <phoneticPr fontId="3" type="noConversion"/>
  <pageMargins left="0.70866141732283505" right="0.70866141732283505" top="0.74803149606299202" bottom="0.74803149606299202" header="0.31496062992126" footer="0.31496062992126"/>
  <pageSetup paperSize="9" scale="130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必有酸菜魚可吃 大難不死</cp:lastModifiedBy>
  <cp:lastPrinted>2026-01-04T10:04:00Z</cp:lastPrinted>
  <dcterms:created xsi:type="dcterms:W3CDTF">2022-10-24T11:23:00Z</dcterms:created>
  <dcterms:modified xsi:type="dcterms:W3CDTF">2026-08-19T19:17:04Z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3076-12.1.0.26880</vt:lpwstr>
  </property>
  <property fmtid="{D5CDD505-2E9C-101B-9397-08002B2CF9AE}" pid="3" name="CalculationRule">
    <vt:i4>0</vt:i4>
  </property>
  <property fmtid="{D5CDD505-2E9C-101B-9397-08002B2CF9AE}" pid="4" name="ICV">
    <vt:lpwstr>CFB7E699E5D248909E61D15835CF7FEA_12</vt:lpwstr>
  </property>
</Properties>
</file>