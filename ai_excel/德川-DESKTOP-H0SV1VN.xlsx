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45"/>
  </bookViews>
  <sheets>
    <sheet name="工作表1" sheetId="1" r:id="rId1"/>
    <sheet name="工作表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<sst xmlns="http://schemas.openxmlformats.org/spreadsheetml/2006/main" count="106" uniqueCount="48">
  <si>
    <t>德  川</t>
  </si>
  <si>
    <t>機長麵線</t>
  </si>
  <si>
    <t>機器麵線</t>
  </si>
  <si>
    <t>對帳日期</t>
  </si>
  <si>
    <t>115.6.26~7.24</t>
  </si>
  <si>
    <t>貨單日期</t>
  </si>
  <si>
    <t>貨單名稱</t>
  </si>
  <si>
    <t>數量</t>
  </si>
  <si>
    <t>單價</t>
  </si>
  <si>
    <r>
      <rPr>
        <sz val="12"/>
        <color theme="1"/>
        <rFont val="新細明體"/>
        <charset val="136"/>
        <scheme val="minor"/>
      </rPr>
      <t>退貨</t>
    </r>
    <r>
      <rPr>
        <sz val="12"/>
        <color rgb="FFFF0000"/>
        <rFont val="新細明體"/>
        <charset val="136"/>
        <scheme val="minor"/>
      </rPr>
      <t xml:space="preserve"> 元</t>
    </r>
  </si>
  <si>
    <t>合計</t>
  </si>
  <si>
    <t>總計金額</t>
  </si>
  <si>
    <t>雞絲麵</t>
  </si>
  <si>
    <t>115.6.26</t>
  </si>
  <si>
    <t>手工麵線</t>
  </si>
  <si>
    <t>115.6.29</t>
  </si>
  <si>
    <t>115.7.1</t>
  </si>
  <si>
    <t>115.7.3</t>
  </si>
  <si>
    <t>115.7.6</t>
  </si>
  <si>
    <t>115.7.8</t>
  </si>
  <si>
    <t>115.7.13</t>
  </si>
  <si>
    <t>115.7.15</t>
  </si>
  <si>
    <t>115.7.17</t>
  </si>
  <si>
    <t>115.7.20</t>
  </si>
  <si>
    <t>115.7.22</t>
  </si>
  <si>
    <t>115.7.24</t>
  </si>
  <si>
    <t>總共12張</t>
  </si>
  <si>
    <t xml:space="preserve">       機</t>
  </si>
  <si>
    <t xml:space="preserve">    手</t>
  </si>
  <si>
    <t xml:space="preserve">    雞 </t>
  </si>
  <si>
    <t xml:space="preserve">   機長</t>
  </si>
  <si>
    <t>客戶名稱</t>
  </si>
  <si>
    <r>
      <rPr>
        <b/>
        <sz val="16"/>
        <color theme="1"/>
        <rFont val="新細明體"/>
        <charset val="136"/>
        <scheme val="minor"/>
      </rPr>
      <t xml:space="preserve">   </t>
    </r>
    <r>
      <rPr>
        <b/>
        <sz val="18"/>
        <color theme="1"/>
        <rFont val="新細明體"/>
        <charset val="136"/>
        <scheme val="minor"/>
      </rPr>
      <t xml:space="preserve">德  </t>
    </r>
  </si>
  <si>
    <t>川</t>
  </si>
  <si>
    <t>112.4.26~5.23</t>
  </si>
  <si>
    <t xml:space="preserve">  合計</t>
  </si>
  <si>
    <t>112.4.26</t>
  </si>
  <si>
    <t>112.4.28</t>
  </si>
  <si>
    <t>112.5.3</t>
  </si>
  <si>
    <t>112.5.5</t>
  </si>
  <si>
    <t>112.5.10</t>
  </si>
  <si>
    <t>112.5.12</t>
  </si>
  <si>
    <t>112.5.15</t>
  </si>
  <si>
    <t>112.5.17</t>
  </si>
  <si>
    <t>112.5.18</t>
  </si>
  <si>
    <t>112.5.19</t>
  </si>
  <si>
    <t>112.5.23</t>
  </si>
  <si>
    <t>總共11張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</si>
</sst>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NT$&quot;* #,##0.00_-;\-&quot;NT$&quot;* #,##0.00_-;_-&quot;NT$&quot;* &quot;-&quot;??_-;_-@_-"/>
    <numFmt numFmtId="177" formatCode="_-&quot;NT$&quot;* #,##0_-;\-&quot;NT$&quot;* #,##0_-;_-&quot;NT$&quot;* &quot;-&quot;_-;_-@_-"/>
  </numFmts>
  <fonts count="27">
    <font>
      <sz val="12"/>
      <color theme="1"/>
      <name val="新細明體"/>
      <charset val="136"/>
      <scheme val="minor"/>
    </font>
    <font>
      <b/>
      <sz val="12"/>
      <color theme="1"/>
      <name val="新細明體"/>
      <charset val="136"/>
      <scheme val="minor"/>
    </font>
    <font>
      <b/>
      <sz val="18"/>
      <color theme="1"/>
      <name val="新細明體"/>
      <charset val="136"/>
      <scheme val="minor"/>
    </font>
    <font>
      <b/>
      <sz val="18"/>
      <name val="新細明體"/>
      <charset val="136"/>
      <scheme val="minor"/>
    </font>
    <font>
      <sz val="18"/>
      <color theme="1"/>
      <name val="新細明體"/>
      <charset val="136"/>
      <scheme val="minor"/>
    </font>
    <font>
      <sz val="12"/>
      <color theme="1"/>
      <name val="新細明體"/>
      <charset val="134"/>
      <scheme val="minor"/>
    </font>
    <font>
      <u/>
      <sz val="11"/>
      <color rgb="FF0000FF"/>
      <name val="新細明體"/>
      <charset val="0"/>
      <scheme val="minor"/>
    </font>
    <font>
      <u/>
      <sz val="11"/>
      <color rgb="FF800080"/>
      <name val="新細明體"/>
      <charset val="0"/>
      <scheme val="minor"/>
    </font>
    <font>
      <sz val="11"/>
      <color rgb="FFFF0000"/>
      <name val="新細明體"/>
      <charset val="0"/>
      <scheme val="minor"/>
    </font>
    <font>
      <b/>
      <sz val="18"/>
      <color theme="3"/>
      <name val="新細明體"/>
      <charset val="134"/>
      <scheme val="minor"/>
    </font>
    <font>
      <i/>
      <sz val="11"/>
      <color rgb="FF7F7F7F"/>
      <name val="新細明體"/>
      <charset val="0"/>
      <scheme val="minor"/>
    </font>
    <font>
      <b/>
      <sz val="15"/>
      <color theme="3"/>
      <name val="新細明體"/>
      <charset val="134"/>
      <scheme val="minor"/>
    </font>
    <font>
      <b/>
      <sz val="13"/>
      <color theme="3"/>
      <name val="新細明體"/>
      <charset val="134"/>
      <scheme val="minor"/>
    </font>
    <font>
      <b/>
      <sz val="11"/>
      <color theme="3"/>
      <name val="新細明體"/>
      <charset val="134"/>
      <scheme val="minor"/>
    </font>
    <font>
      <sz val="11"/>
      <color rgb="FF3F3F76"/>
      <name val="新細明體"/>
      <charset val="0"/>
      <scheme val="minor"/>
    </font>
    <font>
      <b/>
      <sz val="11"/>
      <color rgb="FF3F3F3F"/>
      <name val="新細明體"/>
      <charset val="0"/>
      <scheme val="minor"/>
    </font>
    <font>
      <b/>
      <sz val="11"/>
      <color rgb="FFFA7D00"/>
      <name val="新細明體"/>
      <charset val="0"/>
      <scheme val="minor"/>
    </font>
    <font>
      <b/>
      <sz val="11"/>
      <color rgb="FFFFFFFF"/>
      <name val="新細明體"/>
      <charset val="0"/>
      <scheme val="minor"/>
    </font>
    <font>
      <sz val="11"/>
      <color rgb="FFFA7D00"/>
      <name val="新細明體"/>
      <charset val="0"/>
      <scheme val="minor"/>
    </font>
    <font>
      <b/>
      <sz val="11"/>
      <color theme="1"/>
      <name val="新細明體"/>
      <charset val="0"/>
      <scheme val="minor"/>
    </font>
    <font>
      <sz val="11"/>
      <color rgb="FF006100"/>
      <name val="新細明體"/>
      <charset val="0"/>
      <scheme val="minor"/>
    </font>
    <font>
      <sz val="11"/>
      <color rgb="FF9C0006"/>
      <name val="新細明體"/>
      <charset val="0"/>
      <scheme val="minor"/>
    </font>
    <font>
      <sz val="11"/>
      <color rgb="FF9C6500"/>
      <name val="新細明體"/>
      <charset val="0"/>
      <scheme val="minor"/>
    </font>
    <font>
      <sz val="11"/>
      <color theme="0"/>
      <name val="新細明體"/>
      <charset val="0"/>
      <scheme val="minor"/>
    </font>
    <font>
      <sz val="11"/>
      <color theme="1"/>
      <name val="新細明體"/>
      <charset val="0"/>
      <scheme val="minor"/>
    </font>
    <font>
      <sz val="12"/>
      <color rgb="FFFF0000"/>
      <name val="新細明體"/>
      <charset val="136"/>
      <scheme val="minor"/>
    </font>
    <font>
      <b/>
      <sz val="16"/>
      <color theme="1"/>
      <name val="新細明體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1" fontId="0" fillId="0" borderId="0" xfId="0" applyNumberFormat="1">
      <alignment vertical="center"/>
    </xf>
  </cellXfs>
  <cellStyles count="49">
    <cellStyle name="常規" xfId="0" builtinId="0"/>
    <cellStyle name="千位分隔" xfId="1" builtinId="3"/>
    <cellStyle name="貨幣" xfId="2" builtinId="4"/>
    <cellStyle name="百分比" xfId="3" builtinId="5"/>
    <cellStyle name="千位分隔[0]" xfId="4" builtinId="6"/>
    <cellStyle name="貨幣[0]" xfId="5" builtinId="7"/>
    <cellStyle name="超鏈接" xfId="6" builtinId="8"/>
    <cellStyle name="已訪問的超鏈接" xfId="7" builtinId="9"/>
    <cellStyle name="註釋" xfId="8" builtinId="10"/>
    <cellStyle name="警告文字" xfId="9" builtinId="11"/>
    <cellStyle name="標題" xfId="10" builtinId="15"/>
    <cellStyle name="解釋性文本" xfId="11" builtinId="53"/>
    <cellStyle name="標題 1" xfId="12" builtinId="16"/>
    <cellStyle name="標題 2" xfId="13" builtinId="17"/>
    <cellStyle name="標題 3" xfId="14" builtinId="18"/>
    <cellStyle name="標題 4" xfId="15" builtinId="19"/>
    <cellStyle name="輸入" xfId="16" builtinId="20"/>
    <cellStyle name="輸出" xfId="17" builtinId="21"/>
    <cellStyle name="計算" xfId="18" builtinId="22"/>
    <cellStyle name="檢查儲存格" xfId="19" builtinId="23"/>
    <cellStyle name="鏈接儲存格" xfId="20" builtinId="24"/>
    <cellStyle name="匯總" xfId="21" builtinId="25"/>
    <cellStyle name="好" xfId="22" builtinId="26"/>
    <cellStyle name="差" xfId="23" builtinId="27"/>
    <cellStyle name="適中" xfId="24" builtinId="28"/>
    <cellStyle name="強調文字顏色 1" xfId="25" builtinId="29"/>
    <cellStyle name="20% - 強調文字顏色 1" xfId="26" builtinId="30"/>
    <cellStyle name="40% - 強調文字顏色 1" xfId="27" builtinId="31"/>
    <cellStyle name="60% - 強調文字顏色 1" xfId="28" builtinId="32"/>
    <cellStyle name="強調文字顏色 2" xfId="29" builtinId="33"/>
    <cellStyle name="20% - 強調文字顏色 2" xfId="30" builtinId="34"/>
    <cellStyle name="40% - 強調文字顏色 2" xfId="31" builtinId="35"/>
    <cellStyle name="60% - 強調文字顏色 2" xfId="32" builtinId="36"/>
    <cellStyle name="強調文字顏色 3" xfId="33" builtinId="37"/>
    <cellStyle name="20% - 強調文字顏色 3" xfId="34" builtinId="38"/>
    <cellStyle name="40% - 強調文字顏色 3" xfId="35" builtinId="39"/>
    <cellStyle name="60% - 強調文字顏色 3" xfId="36" builtinId="40"/>
    <cellStyle name="強調文字顏色 4" xfId="37" builtinId="41"/>
    <cellStyle name="20% - 強調文字顏色 4" xfId="38" builtinId="42"/>
    <cellStyle name="40% - 強調文字顏色 4" xfId="39" builtinId="43"/>
    <cellStyle name="60% - 強調文字顏色 4" xfId="40" builtinId="44"/>
    <cellStyle name="強調文字顏色 5" xfId="41" builtinId="45"/>
    <cellStyle name="20% - 強調文字顏色 5" xfId="42" builtinId="46"/>
    <cellStyle name="40% - 強調文字顏色 5" xfId="43" builtinId="47"/>
    <cellStyle name="60% - 強調文字顏色 5" xfId="44" builtinId="48"/>
    <cellStyle name="強調文字顏色 6" xfId="45" builtinId="49"/>
    <cellStyle name="20% - 強調文字顏色 6" xfId="46" builtinId="50"/>
    <cellStyle name="40% - 強調文字顏色 6" xfId="47" builtinId="51"/>
    <cellStyle name="60% - 強調文字顏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19050</xdr:colOff>
      <xdr:row>2</xdr:row>
      <xdr:rowOff>0</xdr:rowOff>
    </xdr:from>
    <xdr:to>
      <xdr:col>7</xdr:col>
      <xdr:colOff>0</xdr:colOff>
      <xdr:row>2</xdr:row>
      <xdr:rowOff>0</xdr:rowOff>
    </xdr:to>
    <xdr:cxnSp>
      <xdr:nvCxnSpPr>
        <xdr:cNvPr id="3" name="直線接點 2"/>
        <xdr:cNvCxnSpPr/>
      </xdr:nvCxnSpPr>
      <xdr:spPr>
        <a:xfrm>
          <a:off x="19050" y="533400"/>
          <a:ext cx="49149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635</xdr:colOff>
      <xdr:row>27</xdr:row>
      <xdr:rowOff>9525</xdr:rowOff>
    </xdr:from>
    <xdr:to>
      <xdr:col>6</xdr:col>
      <xdr:colOff>838835</xdr:colOff>
      <xdr:row>27</xdr:row>
      <xdr:rowOff>9525</xdr:rowOff>
    </xdr:to>
    <xdr:cxnSp>
      <xdr:nvCxnSpPr>
        <xdr:cNvPr id="6" name="直線接點 5"/>
        <xdr:cNvCxnSpPr/>
      </xdr:nvCxnSpPr>
      <xdr:spPr>
        <a:xfrm>
          <a:off x="635" y="7210425"/>
          <a:ext cx="49053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115570</xdr:colOff>
      <xdr:row>27</xdr:row>
      <xdr:rowOff>66675</xdr:rowOff>
    </xdr:from>
    <xdr:to>
      <xdr:col>17</xdr:col>
      <xdr:colOff>247015</xdr:colOff>
      <xdr:row>27</xdr:row>
      <xdr:rowOff>66675</xdr:rowOff>
    </xdr:to>
    <xdr:cxnSp>
      <xdr:nvCxnSpPr>
        <xdr:cNvPr id="12" name="直線接點 11"/>
        <xdr:cNvCxnSpPr/>
      </xdr:nvCxnSpPr>
      <xdr:spPr>
        <a:xfrm>
          <a:off x="7106920" y="7267575"/>
          <a:ext cx="493204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635</xdr:colOff>
      <xdr:row>21</xdr:row>
      <xdr:rowOff>0</xdr:rowOff>
    </xdr:from>
    <xdr:to>
      <xdr:col>6</xdr:col>
      <xdr:colOff>848360</xdr:colOff>
      <xdr:row>21</xdr:row>
      <xdr:rowOff>0</xdr:rowOff>
    </xdr:to>
    <xdr:cxnSp>
      <xdr:nvCxnSpPr>
        <xdr:cNvPr id="15" name="直線接點 14"/>
        <xdr:cNvCxnSpPr/>
      </xdr:nvCxnSpPr>
      <xdr:spPr>
        <a:xfrm>
          <a:off x="635" y="5600700"/>
          <a:ext cx="49149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287020</xdr:colOff>
      <xdr:row>30</xdr:row>
      <xdr:rowOff>152400</xdr:rowOff>
    </xdr:from>
    <xdr:to>
      <xdr:col>17</xdr:col>
      <xdr:colOff>429895</xdr:colOff>
      <xdr:row>30</xdr:row>
      <xdr:rowOff>152400</xdr:rowOff>
    </xdr:to>
    <xdr:cxnSp>
      <xdr:nvCxnSpPr>
        <xdr:cNvPr id="18" name="直線接點 17"/>
        <xdr:cNvCxnSpPr/>
      </xdr:nvCxnSpPr>
      <xdr:spPr>
        <a:xfrm>
          <a:off x="7278370" y="8153400"/>
          <a:ext cx="49434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635</xdr:colOff>
      <xdr:row>3</xdr:row>
      <xdr:rowOff>0</xdr:rowOff>
    </xdr:from>
    <xdr:to>
      <xdr:col>7</xdr:col>
      <xdr:colOff>10160</xdr:colOff>
      <xdr:row>3</xdr:row>
      <xdr:rowOff>0</xdr:rowOff>
    </xdr:to>
    <xdr:cxnSp>
      <xdr:nvCxnSpPr>
        <xdr:cNvPr id="21" name="直線接點 20"/>
        <xdr:cNvCxnSpPr/>
      </xdr:nvCxnSpPr>
      <xdr:spPr>
        <a:xfrm>
          <a:off x="635" y="800100"/>
          <a:ext cx="49434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457200</xdr:colOff>
      <xdr:row>26</xdr:row>
      <xdr:rowOff>161925</xdr:rowOff>
    </xdr:from>
    <xdr:to>
      <xdr:col>17</xdr:col>
      <xdr:colOff>609600</xdr:colOff>
      <xdr:row>26</xdr:row>
      <xdr:rowOff>161925</xdr:rowOff>
    </xdr:to>
    <xdr:cxnSp>
      <xdr:nvCxnSpPr>
        <xdr:cNvPr id="24" name="直線接點 23"/>
        <xdr:cNvCxnSpPr/>
      </xdr:nvCxnSpPr>
      <xdr:spPr>
        <a:xfrm>
          <a:off x="7448550" y="7096125"/>
          <a:ext cx="49530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635</xdr:colOff>
      <xdr:row>18</xdr:row>
      <xdr:rowOff>0</xdr:rowOff>
    </xdr:from>
    <xdr:to>
      <xdr:col>7</xdr:col>
      <xdr:colOff>10160</xdr:colOff>
      <xdr:row>18</xdr:row>
      <xdr:rowOff>0</xdr:rowOff>
    </xdr:to>
    <xdr:cxnSp>
      <xdr:nvCxnSpPr>
        <xdr:cNvPr id="28" name="直線接點 27"/>
        <xdr:cNvCxnSpPr/>
      </xdr:nvCxnSpPr>
      <xdr:spPr>
        <a:xfrm>
          <a:off x="635" y="4800600"/>
          <a:ext cx="49434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635</xdr:colOff>
      <xdr:row>8</xdr:row>
      <xdr:rowOff>0</xdr:rowOff>
    </xdr:from>
    <xdr:to>
      <xdr:col>6</xdr:col>
      <xdr:colOff>865505</xdr:colOff>
      <xdr:row>8</xdr:row>
      <xdr:rowOff>0</xdr:rowOff>
    </xdr:to>
    <xdr:cxnSp>
      <xdr:nvCxnSpPr>
        <xdr:cNvPr id="31" name="直線接點 30"/>
        <xdr:cNvCxnSpPr/>
      </xdr:nvCxnSpPr>
      <xdr:spPr>
        <a:xfrm>
          <a:off x="635" y="2133600"/>
          <a:ext cx="493204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635</xdr:colOff>
      <xdr:row>10</xdr:row>
      <xdr:rowOff>0</xdr:rowOff>
    </xdr:from>
    <xdr:to>
      <xdr:col>7</xdr:col>
      <xdr:colOff>10160</xdr:colOff>
      <xdr:row>10</xdr:row>
      <xdr:rowOff>1</xdr:rowOff>
    </xdr:to>
    <xdr:cxnSp>
      <xdr:nvCxnSpPr>
        <xdr:cNvPr id="35" name="直線接點 34"/>
        <xdr:cNvCxnSpPr/>
      </xdr:nvCxnSpPr>
      <xdr:spPr>
        <a:xfrm>
          <a:off x="635" y="2667000"/>
          <a:ext cx="49434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668020</xdr:colOff>
      <xdr:row>27</xdr:row>
      <xdr:rowOff>247650</xdr:rowOff>
    </xdr:from>
    <xdr:to>
      <xdr:col>18</xdr:col>
      <xdr:colOff>114935</xdr:colOff>
      <xdr:row>27</xdr:row>
      <xdr:rowOff>247650</xdr:rowOff>
    </xdr:to>
    <xdr:cxnSp>
      <xdr:nvCxnSpPr>
        <xdr:cNvPr id="39" name="直線接點 38"/>
        <xdr:cNvCxnSpPr/>
      </xdr:nvCxnSpPr>
      <xdr:spPr>
        <a:xfrm>
          <a:off x="7659370" y="7448550"/>
          <a:ext cx="493331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153670</xdr:colOff>
      <xdr:row>29</xdr:row>
      <xdr:rowOff>200025</xdr:rowOff>
    </xdr:from>
    <xdr:to>
      <xdr:col>17</xdr:col>
      <xdr:colOff>296545</xdr:colOff>
      <xdr:row>29</xdr:row>
      <xdr:rowOff>200026</xdr:rowOff>
    </xdr:to>
    <xdr:cxnSp>
      <xdr:nvCxnSpPr>
        <xdr:cNvPr id="42" name="直線接點 41"/>
        <xdr:cNvCxnSpPr/>
      </xdr:nvCxnSpPr>
      <xdr:spPr>
        <a:xfrm flipV="1">
          <a:off x="7145020" y="7934325"/>
          <a:ext cx="49434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635</xdr:colOff>
      <xdr:row>12</xdr:row>
      <xdr:rowOff>0</xdr:rowOff>
    </xdr:from>
    <xdr:to>
      <xdr:col>7</xdr:col>
      <xdr:colOff>0</xdr:colOff>
      <xdr:row>12</xdr:row>
      <xdr:rowOff>0</xdr:rowOff>
    </xdr:to>
    <xdr:cxnSp>
      <xdr:nvCxnSpPr>
        <xdr:cNvPr id="45" name="直線接點 44"/>
        <xdr:cNvCxnSpPr/>
      </xdr:nvCxnSpPr>
      <xdr:spPr>
        <a:xfrm>
          <a:off x="635" y="3200400"/>
          <a:ext cx="493331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635</xdr:colOff>
      <xdr:row>15</xdr:row>
      <xdr:rowOff>0</xdr:rowOff>
    </xdr:from>
    <xdr:to>
      <xdr:col>6</xdr:col>
      <xdr:colOff>866140</xdr:colOff>
      <xdr:row>15</xdr:row>
      <xdr:rowOff>0</xdr:rowOff>
    </xdr:to>
    <xdr:cxnSp>
      <xdr:nvCxnSpPr>
        <xdr:cNvPr id="48" name="直線接點 47"/>
        <xdr:cNvCxnSpPr/>
      </xdr:nvCxnSpPr>
      <xdr:spPr>
        <a:xfrm>
          <a:off x="635" y="4000500"/>
          <a:ext cx="493268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20320</xdr:colOff>
      <xdr:row>18</xdr:row>
      <xdr:rowOff>47625</xdr:rowOff>
    </xdr:from>
    <xdr:to>
      <xdr:col>19</xdr:col>
      <xdr:colOff>163195</xdr:colOff>
      <xdr:row>18</xdr:row>
      <xdr:rowOff>47625</xdr:rowOff>
    </xdr:to>
    <xdr:cxnSp>
      <xdr:nvCxnSpPr>
        <xdr:cNvPr id="54" name="直線接點 53"/>
        <xdr:cNvCxnSpPr/>
      </xdr:nvCxnSpPr>
      <xdr:spPr>
        <a:xfrm>
          <a:off x="8383270" y="4848225"/>
          <a:ext cx="49434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635</xdr:colOff>
      <xdr:row>24</xdr:row>
      <xdr:rowOff>0</xdr:rowOff>
    </xdr:from>
    <xdr:to>
      <xdr:col>6</xdr:col>
      <xdr:colOff>866140</xdr:colOff>
      <xdr:row>24</xdr:row>
      <xdr:rowOff>0</xdr:rowOff>
    </xdr:to>
    <xdr:cxnSp>
      <xdr:nvCxnSpPr>
        <xdr:cNvPr id="58" name="直線接點 57"/>
        <xdr:cNvCxnSpPr/>
      </xdr:nvCxnSpPr>
      <xdr:spPr>
        <a:xfrm>
          <a:off x="635" y="6400800"/>
          <a:ext cx="493268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635</xdr:colOff>
      <xdr:row>13</xdr:row>
      <xdr:rowOff>0</xdr:rowOff>
    </xdr:from>
    <xdr:to>
      <xdr:col>6</xdr:col>
      <xdr:colOff>857885</xdr:colOff>
      <xdr:row>13</xdr:row>
      <xdr:rowOff>0</xdr:rowOff>
    </xdr:to>
    <xdr:cxnSp>
      <xdr:nvCxnSpPr>
        <xdr:cNvPr id="61" name="直線接點 60"/>
        <xdr:cNvCxnSpPr/>
      </xdr:nvCxnSpPr>
      <xdr:spPr>
        <a:xfrm>
          <a:off x="635" y="3467100"/>
          <a:ext cx="49244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635</xdr:colOff>
      <xdr:row>6</xdr:row>
      <xdr:rowOff>0</xdr:rowOff>
    </xdr:from>
    <xdr:to>
      <xdr:col>7</xdr:col>
      <xdr:colOff>10160</xdr:colOff>
      <xdr:row>6</xdr:row>
      <xdr:rowOff>0</xdr:rowOff>
    </xdr:to>
    <xdr:cxnSp>
      <xdr:nvCxnSpPr>
        <xdr:cNvPr id="64" name="直線接點 63"/>
        <xdr:cNvCxnSpPr/>
      </xdr:nvCxnSpPr>
      <xdr:spPr>
        <a:xfrm>
          <a:off x="635" y="1600200"/>
          <a:ext cx="49434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635</xdr:colOff>
      <xdr:row>19</xdr:row>
      <xdr:rowOff>0</xdr:rowOff>
    </xdr:from>
    <xdr:to>
      <xdr:col>6</xdr:col>
      <xdr:colOff>848360</xdr:colOff>
      <xdr:row>19</xdr:row>
      <xdr:rowOff>0</xdr:rowOff>
    </xdr:to>
    <xdr:cxnSp>
      <xdr:nvCxnSpPr>
        <xdr:cNvPr id="67" name="直線接點 66"/>
        <xdr:cNvCxnSpPr/>
      </xdr:nvCxnSpPr>
      <xdr:spPr>
        <a:xfrm>
          <a:off x="635" y="5067300"/>
          <a:ext cx="49149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635</xdr:colOff>
      <xdr:row>22</xdr:row>
      <xdr:rowOff>0</xdr:rowOff>
    </xdr:from>
    <xdr:to>
      <xdr:col>6</xdr:col>
      <xdr:colOff>848360</xdr:colOff>
      <xdr:row>22</xdr:row>
      <xdr:rowOff>1</xdr:rowOff>
    </xdr:to>
    <xdr:cxnSp>
      <xdr:nvCxnSpPr>
        <xdr:cNvPr id="70" name="直線接點 69"/>
        <xdr:cNvCxnSpPr/>
      </xdr:nvCxnSpPr>
      <xdr:spPr>
        <a:xfrm>
          <a:off x="635" y="5867400"/>
          <a:ext cx="49149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153035</xdr:colOff>
      <xdr:row>27</xdr:row>
      <xdr:rowOff>209550</xdr:rowOff>
    </xdr:from>
    <xdr:to>
      <xdr:col>17</xdr:col>
      <xdr:colOff>286385</xdr:colOff>
      <xdr:row>27</xdr:row>
      <xdr:rowOff>209550</xdr:rowOff>
    </xdr:to>
    <xdr:cxnSp>
      <xdr:nvCxnSpPr>
        <xdr:cNvPr id="73" name="直線接點 72"/>
        <xdr:cNvCxnSpPr/>
      </xdr:nvCxnSpPr>
      <xdr:spPr>
        <a:xfrm>
          <a:off x="7144385" y="7410450"/>
          <a:ext cx="49339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3</xdr:row>
      <xdr:rowOff>0</xdr:rowOff>
    </xdr:from>
    <xdr:to>
      <xdr:col>7</xdr:col>
      <xdr:colOff>9525</xdr:colOff>
      <xdr:row>3</xdr:row>
      <xdr:rowOff>0</xdr:rowOff>
    </xdr:to>
    <xdr:cxnSp>
      <xdr:nvCxnSpPr>
        <xdr:cNvPr id="3" name="直線接點 2"/>
        <xdr:cNvCxnSpPr/>
      </xdr:nvCxnSpPr>
      <xdr:spPr>
        <a:xfrm>
          <a:off x="0" y="800100"/>
          <a:ext cx="48196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9525</xdr:colOff>
      <xdr:row>2</xdr:row>
      <xdr:rowOff>0</xdr:rowOff>
    </xdr:from>
    <xdr:to>
      <xdr:col>7</xdr:col>
      <xdr:colOff>0</xdr:colOff>
      <xdr:row>2</xdr:row>
      <xdr:rowOff>0</xdr:rowOff>
    </xdr:to>
    <xdr:cxnSp>
      <xdr:nvCxnSpPr>
        <xdr:cNvPr id="7" name="直線接點 6"/>
        <xdr:cNvCxnSpPr/>
      </xdr:nvCxnSpPr>
      <xdr:spPr>
        <a:xfrm>
          <a:off x="9525" y="533400"/>
          <a:ext cx="48006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5</xdr:row>
      <xdr:rowOff>0</xdr:rowOff>
    </xdr:from>
    <xdr:to>
      <xdr:col>7</xdr:col>
      <xdr:colOff>19050</xdr:colOff>
      <xdr:row>5</xdr:row>
      <xdr:rowOff>0</xdr:rowOff>
    </xdr:to>
    <xdr:cxnSp>
      <xdr:nvCxnSpPr>
        <xdr:cNvPr id="10" name="直線接點 9"/>
        <xdr:cNvCxnSpPr/>
      </xdr:nvCxnSpPr>
      <xdr:spPr>
        <a:xfrm>
          <a:off x="0" y="1333500"/>
          <a:ext cx="48291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7</xdr:row>
      <xdr:rowOff>0</xdr:rowOff>
    </xdr:from>
    <xdr:to>
      <xdr:col>7</xdr:col>
      <xdr:colOff>9525</xdr:colOff>
      <xdr:row>7</xdr:row>
      <xdr:rowOff>0</xdr:rowOff>
    </xdr:to>
    <xdr:cxnSp>
      <xdr:nvCxnSpPr>
        <xdr:cNvPr id="14" name="直線接點 13"/>
        <xdr:cNvCxnSpPr/>
      </xdr:nvCxnSpPr>
      <xdr:spPr>
        <a:xfrm>
          <a:off x="0" y="1866900"/>
          <a:ext cx="48196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9</xdr:row>
      <xdr:rowOff>0</xdr:rowOff>
    </xdr:from>
    <xdr:to>
      <xdr:col>7</xdr:col>
      <xdr:colOff>9525</xdr:colOff>
      <xdr:row>9</xdr:row>
      <xdr:rowOff>1</xdr:rowOff>
    </xdr:to>
    <xdr:cxnSp>
      <xdr:nvCxnSpPr>
        <xdr:cNvPr id="18" name="直線接點 17"/>
        <xdr:cNvCxnSpPr/>
      </xdr:nvCxnSpPr>
      <xdr:spPr>
        <a:xfrm>
          <a:off x="0" y="2400300"/>
          <a:ext cx="48196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12</xdr:row>
      <xdr:rowOff>0</xdr:rowOff>
    </xdr:from>
    <xdr:to>
      <xdr:col>7</xdr:col>
      <xdr:colOff>0</xdr:colOff>
      <xdr:row>12</xdr:row>
      <xdr:rowOff>9525</xdr:rowOff>
    </xdr:to>
    <xdr:cxnSp>
      <xdr:nvCxnSpPr>
        <xdr:cNvPr id="22" name="直線接點 21"/>
        <xdr:cNvCxnSpPr/>
      </xdr:nvCxnSpPr>
      <xdr:spPr>
        <a:xfrm flipV="1">
          <a:off x="0" y="3200400"/>
          <a:ext cx="4810125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9525</xdr:colOff>
      <xdr:row>14</xdr:row>
      <xdr:rowOff>0</xdr:rowOff>
    </xdr:from>
    <xdr:to>
      <xdr:col>7</xdr:col>
      <xdr:colOff>19050</xdr:colOff>
      <xdr:row>14</xdr:row>
      <xdr:rowOff>0</xdr:rowOff>
    </xdr:to>
    <xdr:cxnSp>
      <xdr:nvCxnSpPr>
        <xdr:cNvPr id="26" name="直線接點 25"/>
        <xdr:cNvCxnSpPr/>
      </xdr:nvCxnSpPr>
      <xdr:spPr>
        <a:xfrm>
          <a:off x="9525" y="3733800"/>
          <a:ext cx="48196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15</xdr:row>
      <xdr:rowOff>0</xdr:rowOff>
    </xdr:from>
    <xdr:to>
      <xdr:col>7</xdr:col>
      <xdr:colOff>0</xdr:colOff>
      <xdr:row>15</xdr:row>
      <xdr:rowOff>9525</xdr:rowOff>
    </xdr:to>
    <xdr:cxnSp>
      <xdr:nvCxnSpPr>
        <xdr:cNvPr id="31" name="直線接點 30"/>
        <xdr:cNvCxnSpPr/>
      </xdr:nvCxnSpPr>
      <xdr:spPr>
        <a:xfrm>
          <a:off x="0" y="4000500"/>
          <a:ext cx="4810125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18</xdr:row>
      <xdr:rowOff>0</xdr:rowOff>
    </xdr:from>
    <xdr:to>
      <xdr:col>7</xdr:col>
      <xdr:colOff>19050</xdr:colOff>
      <xdr:row>18</xdr:row>
      <xdr:rowOff>1</xdr:rowOff>
    </xdr:to>
    <xdr:cxnSp>
      <xdr:nvCxnSpPr>
        <xdr:cNvPr id="36" name="直線接點 35"/>
        <xdr:cNvCxnSpPr/>
      </xdr:nvCxnSpPr>
      <xdr:spPr>
        <a:xfrm>
          <a:off x="0" y="4800600"/>
          <a:ext cx="48291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19</xdr:row>
      <xdr:rowOff>0</xdr:rowOff>
    </xdr:from>
    <xdr:to>
      <xdr:col>7</xdr:col>
      <xdr:colOff>0</xdr:colOff>
      <xdr:row>19</xdr:row>
      <xdr:rowOff>1</xdr:rowOff>
    </xdr:to>
    <xdr:cxnSp>
      <xdr:nvCxnSpPr>
        <xdr:cNvPr id="40" name="直線接點 39"/>
        <xdr:cNvCxnSpPr/>
      </xdr:nvCxnSpPr>
      <xdr:spPr>
        <a:xfrm>
          <a:off x="0" y="5067300"/>
          <a:ext cx="48101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20</xdr:row>
      <xdr:rowOff>0</xdr:rowOff>
    </xdr:from>
    <xdr:to>
      <xdr:col>7</xdr:col>
      <xdr:colOff>9525</xdr:colOff>
      <xdr:row>20</xdr:row>
      <xdr:rowOff>9525</xdr:rowOff>
    </xdr:to>
    <xdr:cxnSp>
      <xdr:nvCxnSpPr>
        <xdr:cNvPr id="44" name="直線接點 43"/>
        <xdr:cNvCxnSpPr/>
      </xdr:nvCxnSpPr>
      <xdr:spPr>
        <a:xfrm>
          <a:off x="0" y="5334000"/>
          <a:ext cx="481965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23</xdr:row>
      <xdr:rowOff>0</xdr:rowOff>
    </xdr:from>
    <xdr:to>
      <xdr:col>7</xdr:col>
      <xdr:colOff>9525</xdr:colOff>
      <xdr:row>23</xdr:row>
      <xdr:rowOff>1</xdr:rowOff>
    </xdr:to>
    <xdr:cxnSp>
      <xdr:nvCxnSpPr>
        <xdr:cNvPr id="48" name="直線接點 47"/>
        <xdr:cNvCxnSpPr/>
      </xdr:nvCxnSpPr>
      <xdr:spPr>
        <a:xfrm>
          <a:off x="0" y="6134100"/>
          <a:ext cx="48196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26</xdr:row>
      <xdr:rowOff>0</xdr:rowOff>
    </xdr:from>
    <xdr:to>
      <xdr:col>7</xdr:col>
      <xdr:colOff>9525</xdr:colOff>
      <xdr:row>26</xdr:row>
      <xdr:rowOff>9525</xdr:rowOff>
    </xdr:to>
    <xdr:cxnSp>
      <xdr:nvCxnSpPr>
        <xdr:cNvPr id="52" name="直線接點 51"/>
        <xdr:cNvCxnSpPr/>
      </xdr:nvCxnSpPr>
      <xdr:spPr>
        <a:xfrm>
          <a:off x="0" y="6934200"/>
          <a:ext cx="481965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0"/>
  <sheetViews>
    <sheetView tabSelected="1" topLeftCell="A9" workbookViewId="0">
      <selection activeCell="A1" sqref="A1:G32"/>
    </sheetView>
  </sheetViews>
  <sheetFormatPr defaultColWidth="9" defaultRowHeight="16.5"/>
  <cols>
    <col min="1" max="1" width="10.375" customWidth="1"/>
    <col min="2" max="2" width="11.375" customWidth="1"/>
    <col min="3" max="4" width="7.125" customWidth="1"/>
    <col min="5" max="5" width="8.375" customWidth="1"/>
    <col min="7" max="7" width="11.375" customWidth="1"/>
  </cols>
  <sheetData>
    <row r="1" ht="21" customHeight="1" spans="1:10">
      <c r="C1" s="3" t="s">
        <v>0</v>
      </c>
      <c r="D1" s="4"/>
      <c r="I1" t="s">
        <v>1</v>
      </c>
      <c r="J1" t="s">
        <v>2</v>
      </c>
    </row>
    <row r="2" ht="21" customHeight="1" spans="1:10">
      <c r="A2" t="s">
        <v>3</v>
      </c>
      <c r="B2" t="s">
        <v>4</v>
      </c>
    </row>
    <row r="3" ht="21" customHeight="1" spans="1:10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I3" t="s">
        <v>12</v>
      </c>
    </row>
    <row r="4" ht="21" customHeight="1" spans="1:10">
      <c r="A4" t="s">
        <v>13</v>
      </c>
      <c r="B4" t="s">
        <v>2</v>
      </c>
      <c r="C4">
        <v>65</v>
      </c>
      <c r="D4">
        <v>230</v>
      </c>
      <c r="F4">
        <f>C4*D4</f>
        <v>14950</v>
      </c>
    </row>
    <row r="5" ht="21" customHeight="1" spans="1:10">
      <c r="B5" t="s">
        <v>14</v>
      </c>
      <c r="C5">
        <v>35</v>
      </c>
      <c r="D5">
        <v>410</v>
      </c>
      <c r="F5">
        <f>C5*D5</f>
        <v>14350</v>
      </c>
      <c r="I5" t="s">
        <v>2</v>
      </c>
    </row>
    <row r="6" ht="21" customHeight="1" spans="1:10">
      <c r="B6" t="s">
        <v>12</v>
      </c>
      <c r="C6">
        <v>4</v>
      </c>
      <c r="D6">
        <v>375</v>
      </c>
      <c r="F6">
        <f t="shared" ref="F6:F27" si="0">C6*D6</f>
        <v>1500</v>
      </c>
      <c r="G6">
        <f>F4+F5+F6</f>
        <v>30800</v>
      </c>
      <c r="I6" t="s">
        <v>14</v>
      </c>
    </row>
    <row r="7" ht="21" customHeight="1" spans="1:10">
      <c r="A7" t="s">
        <v>15</v>
      </c>
      <c r="B7" t="s">
        <v>2</v>
      </c>
      <c r="C7">
        <v>30</v>
      </c>
      <c r="D7">
        <v>230</v>
      </c>
      <c r="F7">
        <f t="shared" si="0"/>
        <v>6900</v>
      </c>
      <c r="I7" t="s">
        <v>2</v>
      </c>
    </row>
    <row r="8" ht="21" customHeight="1" spans="1:10">
      <c r="B8" t="s">
        <v>14</v>
      </c>
      <c r="C8">
        <v>20</v>
      </c>
      <c r="D8">
        <v>410</v>
      </c>
      <c r="F8">
        <f t="shared" si="0"/>
        <v>8200</v>
      </c>
      <c r="G8">
        <f>F7+F8</f>
        <v>15100</v>
      </c>
      <c r="J8" t="s">
        <v>2</v>
      </c>
    </row>
    <row r="9" ht="21" customHeight="1" spans="1:10">
      <c r="A9" t="s">
        <v>16</v>
      </c>
      <c r="B9" t="s">
        <v>12</v>
      </c>
      <c r="C9">
        <v>6</v>
      </c>
      <c r="D9">
        <v>375</v>
      </c>
      <c r="F9">
        <f t="shared" si="0"/>
        <v>2250</v>
      </c>
      <c r="J9" t="s">
        <v>14</v>
      </c>
    </row>
    <row r="10" ht="21" customHeight="1" spans="1:10">
      <c r="B10" t="s">
        <v>2</v>
      </c>
      <c r="C10">
        <v>30</v>
      </c>
      <c r="D10" s="5">
        <v>230</v>
      </c>
      <c r="F10">
        <f t="shared" si="0"/>
        <v>6900</v>
      </c>
      <c r="G10">
        <f>F9+F10</f>
        <v>9150</v>
      </c>
    </row>
    <row r="11" ht="21" customHeight="1" spans="1:10">
      <c r="A11" t="s">
        <v>17</v>
      </c>
      <c r="B11" t="s">
        <v>2</v>
      </c>
      <c r="C11">
        <v>80</v>
      </c>
      <c r="D11">
        <v>230</v>
      </c>
      <c r="F11">
        <f t="shared" si="0"/>
        <v>18400</v>
      </c>
    </row>
    <row r="12" ht="21" customHeight="1" spans="1:10">
      <c r="B12" t="s">
        <v>14</v>
      </c>
      <c r="C12">
        <v>30</v>
      </c>
      <c r="D12">
        <v>410</v>
      </c>
      <c r="F12">
        <f t="shared" si="0"/>
        <v>12300</v>
      </c>
      <c r="G12">
        <f>F11+F12</f>
        <v>30700</v>
      </c>
    </row>
    <row r="13" ht="21" customHeight="1" spans="1:10">
      <c r="A13" t="s">
        <v>18</v>
      </c>
      <c r="B13" t="s">
        <v>2</v>
      </c>
      <c r="C13">
        <v>30</v>
      </c>
      <c r="D13">
        <v>230</v>
      </c>
      <c r="F13">
        <f t="shared" si="0"/>
        <v>6900</v>
      </c>
      <c r="G13">
        <f>F13</f>
        <v>6900</v>
      </c>
    </row>
    <row r="14" ht="21" customHeight="1" spans="1:10">
      <c r="A14" t="s">
        <v>19</v>
      </c>
      <c r="B14" t="s">
        <v>12</v>
      </c>
      <c r="C14">
        <v>6</v>
      </c>
      <c r="D14" s="5">
        <v>375</v>
      </c>
      <c r="F14">
        <f t="shared" si="0"/>
        <v>2250</v>
      </c>
    </row>
    <row r="15" ht="21" customHeight="1" spans="1:10">
      <c r="B15" t="s">
        <v>2</v>
      </c>
      <c r="C15">
        <v>30</v>
      </c>
      <c r="D15">
        <v>230</v>
      </c>
      <c r="F15">
        <f t="shared" si="0"/>
        <v>6900</v>
      </c>
      <c r="G15">
        <f>F14+F15</f>
        <v>9150</v>
      </c>
    </row>
    <row r="16" ht="21" customHeight="1" spans="1:10">
      <c r="A16" t="s">
        <v>20</v>
      </c>
      <c r="B16" t="s">
        <v>2</v>
      </c>
      <c r="C16">
        <v>60</v>
      </c>
      <c r="D16" s="5">
        <v>230</v>
      </c>
      <c r="F16">
        <f t="shared" si="0"/>
        <v>13800</v>
      </c>
    </row>
    <row r="17" ht="21" customHeight="1" spans="1:7">
      <c r="B17" t="s">
        <v>14</v>
      </c>
      <c r="C17">
        <v>10</v>
      </c>
      <c r="D17">
        <v>410</v>
      </c>
      <c r="F17">
        <f t="shared" si="0"/>
        <v>4100</v>
      </c>
    </row>
    <row r="18" ht="21" customHeight="1" spans="1:7">
      <c r="B18" t="s">
        <v>12</v>
      </c>
      <c r="C18">
        <v>3</v>
      </c>
      <c r="D18" s="5">
        <v>375</v>
      </c>
      <c r="F18">
        <f t="shared" si="0"/>
        <v>1125</v>
      </c>
      <c r="G18">
        <f>F16+F17+F18</f>
        <v>19025</v>
      </c>
    </row>
    <row r="19" ht="21" customHeight="1" spans="1:7">
      <c r="A19" t="s">
        <v>21</v>
      </c>
      <c r="B19" t="s">
        <v>12</v>
      </c>
      <c r="C19">
        <v>6</v>
      </c>
      <c r="D19">
        <v>375</v>
      </c>
      <c r="F19">
        <f t="shared" si="0"/>
        <v>2250</v>
      </c>
      <c r="G19">
        <f>F19</f>
        <v>2250</v>
      </c>
    </row>
    <row r="20" ht="21" customHeight="1" spans="1:7">
      <c r="A20" t="s">
        <v>22</v>
      </c>
      <c r="B20" t="s">
        <v>2</v>
      </c>
      <c r="C20">
        <v>70</v>
      </c>
      <c r="D20" s="5">
        <v>230</v>
      </c>
      <c r="F20">
        <f t="shared" si="0"/>
        <v>16100</v>
      </c>
    </row>
    <row r="21" ht="21" customHeight="1" spans="1:7">
      <c r="B21" t="s">
        <v>14</v>
      </c>
      <c r="C21">
        <v>15</v>
      </c>
      <c r="D21">
        <v>410</v>
      </c>
      <c r="F21">
        <f t="shared" si="0"/>
        <v>6150</v>
      </c>
      <c r="G21">
        <f>F20+F21</f>
        <v>22250</v>
      </c>
    </row>
    <row r="22" ht="21" customHeight="1" spans="1:7">
      <c r="A22" t="s">
        <v>23</v>
      </c>
      <c r="B22" t="s">
        <v>2</v>
      </c>
      <c r="C22">
        <v>40</v>
      </c>
      <c r="D22" s="5">
        <v>230</v>
      </c>
      <c r="F22">
        <f t="shared" si="0"/>
        <v>9200</v>
      </c>
      <c r="G22">
        <f>F22</f>
        <v>9200</v>
      </c>
    </row>
    <row r="23" ht="21" customHeight="1" spans="1:7">
      <c r="A23" t="s">
        <v>24</v>
      </c>
      <c r="B23" t="s">
        <v>2</v>
      </c>
      <c r="C23">
        <v>60</v>
      </c>
      <c r="D23">
        <v>230</v>
      </c>
      <c r="F23">
        <f t="shared" si="0"/>
        <v>13800</v>
      </c>
    </row>
    <row r="24" ht="21" customHeight="1" spans="1:7">
      <c r="B24" t="s">
        <v>14</v>
      </c>
      <c r="C24">
        <v>15</v>
      </c>
      <c r="D24" s="5">
        <v>410</v>
      </c>
      <c r="F24">
        <f t="shared" si="0"/>
        <v>6150</v>
      </c>
      <c r="G24">
        <f>F23+F24</f>
        <v>19950</v>
      </c>
    </row>
    <row r="25" ht="21" customHeight="1" spans="1:7">
      <c r="A25" t="s">
        <v>25</v>
      </c>
      <c r="B25" t="s">
        <v>2</v>
      </c>
      <c r="C25">
        <v>30</v>
      </c>
      <c r="D25" s="5">
        <v>230</v>
      </c>
      <c r="F25">
        <f t="shared" si="0"/>
        <v>6900</v>
      </c>
    </row>
    <row r="26" ht="21" customHeight="1" spans="1:7">
      <c r="B26" t="s">
        <v>14</v>
      </c>
      <c r="C26">
        <v>20</v>
      </c>
      <c r="D26" s="5">
        <v>410</v>
      </c>
      <c r="F26">
        <f t="shared" si="0"/>
        <v>8200</v>
      </c>
    </row>
    <row r="27" ht="21" customHeight="1" spans="1:7">
      <c r="B27" t="s">
        <v>12</v>
      </c>
      <c r="C27">
        <v>6</v>
      </c>
      <c r="D27" s="5">
        <v>375</v>
      </c>
      <c r="F27">
        <f t="shared" si="0"/>
        <v>2250</v>
      </c>
      <c r="G27">
        <f>F25+F26+F27</f>
        <v>17350</v>
      </c>
    </row>
    <row r="28" ht="21" customHeight="1" spans="1:7">
      <c r="D28" s="5"/>
      <c r="F28" t="s">
        <v>26</v>
      </c>
      <c r="G28">
        <f>G6+G8+G10+G12+G13+G15+G18+G19+G21+G22+G24+G27</f>
        <v>191825</v>
      </c>
    </row>
    <row r="29" ht="21" customHeight="1" spans="1:7">
      <c r="D29" s="5"/>
      <c r="G29" s="5"/>
    </row>
    <row r="30" ht="21" customHeight="1" spans="1:7">
      <c r="B30" t="s">
        <v>27</v>
      </c>
      <c r="C30" t="s">
        <v>28</v>
      </c>
      <c r="D30" t="s">
        <v>29</v>
      </c>
      <c r="E30" t="s">
        <v>30</v>
      </c>
      <c r="G30" s="5"/>
    </row>
    <row r="31" ht="21" customHeight="1" spans="1:7">
      <c r="B31">
        <f>C4+C7+C10+C11+C13+C15+C16+C20+C22+C23+C25</f>
        <v>525</v>
      </c>
      <c r="C31">
        <f>C5+C8+C12+C17+C21+C24+C26</f>
        <v>145</v>
      </c>
      <c r="D31">
        <f>C6+C9+C14+C18+C19+C27</f>
        <v>31</v>
      </c>
      <c r="G31" s="5"/>
    </row>
    <row r="32" ht="21" customHeight="1" spans="1:7">
      <c r="B32">
        <f>B31*D25</f>
        <v>120750</v>
      </c>
      <c r="C32">
        <f>C31*D26</f>
        <v>59450</v>
      </c>
      <c r="D32" s="5">
        <f>D31*D27</f>
        <v>11625</v>
      </c>
      <c r="G32">
        <f>B32+C32+D32</f>
        <v>191825</v>
      </c>
    </row>
    <row r="33" ht="21" customHeight="1" spans="4:7">
      <c r="D33" s="5"/>
      <c r="G33" s="5"/>
    </row>
    <row r="34" ht="21" customHeight="1"/>
    <row r="35" ht="21" customHeight="1"/>
    <row r="36" ht="21" customHeight="1"/>
    <row r="37" ht="21" customHeight="1"/>
    <row r="38" ht="21" customHeight="1"/>
    <row r="39" ht="21" customHeight="1"/>
    <row r="40" ht="21" customHeight="1"/>
    <row r="41" ht="21" customHeight="1"/>
    <row r="42" ht="21" customHeight="1"/>
    <row r="43" ht="21" customHeight="1"/>
    <row r="44" ht="21" customHeight="1"/>
    <row r="45" ht="21" customHeight="1"/>
    <row r="46" ht="21" customHeight="1"/>
    <row r="47" ht="21" customHeight="1"/>
    <row r="48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  <row r="58" ht="21" customHeight="1"/>
    <row r="59" ht="21" customHeight="1"/>
    <row r="60" ht="21" customHeight="1"/>
  </sheetData>
  <pageMargins left="0.708661417322835" right="0.708661417322835" top="0.748031496062992" bottom="0.748031496062992" header="0.31496062992126" footer="0.31496062992126"/>
  <pageSetup paperSize="9" scale="130" orientation="portrait" horizontalDpi="360" verticalDpi="36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1"/>
  <sheetViews>
    <sheetView workbookViewId="0">
      <selection activeCell="G32" sqref="G32"/>
    </sheetView>
  </sheetViews>
  <sheetFormatPr defaultColWidth="9" defaultRowHeight="16.5" outlineLevelCol="6"/>
  <cols>
    <col min="1" max="1" width="10.375" customWidth="1"/>
    <col min="2" max="2" width="11.375" customWidth="1"/>
    <col min="3" max="4" width="7.125" customWidth="1"/>
    <col min="5" max="5" width="7.875" customWidth="1"/>
    <col min="6" max="6" width="8.625" customWidth="1"/>
    <col min="7" max="7" width="10.625" customWidth="1"/>
  </cols>
  <sheetData>
    <row r="1" ht="21" customHeight="1" spans="1:7">
      <c r="A1" t="s">
        <v>31</v>
      </c>
      <c r="C1" s="1" t="s">
        <v>32</v>
      </c>
      <c r="D1" s="2" t="s">
        <v>33</v>
      </c>
    </row>
    <row r="2" ht="21" customHeight="1" spans="1:7">
      <c r="A2" t="s">
        <v>3</v>
      </c>
      <c r="B2" t="s">
        <v>34</v>
      </c>
    </row>
    <row r="3" ht="21" customHeight="1" spans="1:7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35</v>
      </c>
      <c r="G3" t="s">
        <v>11</v>
      </c>
    </row>
    <row r="4" ht="21" customHeight="1" spans="1:7">
      <c r="A4" t="s">
        <v>36</v>
      </c>
      <c r="B4" t="s">
        <v>2</v>
      </c>
      <c r="C4">
        <v>45</v>
      </c>
      <c r="D4">
        <v>230</v>
      </c>
      <c r="F4">
        <f t="shared" ref="F4:F26" si="0">C4*D4</f>
        <v>10350</v>
      </c>
    </row>
    <row r="5" ht="21" customHeight="1" spans="1:7">
      <c r="B5" t="s">
        <v>14</v>
      </c>
      <c r="C5">
        <v>20</v>
      </c>
      <c r="D5">
        <v>410</v>
      </c>
      <c r="F5">
        <f t="shared" si="0"/>
        <v>8200</v>
      </c>
      <c r="G5">
        <f>F4+F5</f>
        <v>18550</v>
      </c>
    </row>
    <row r="6" ht="21" customHeight="1" spans="1:7">
      <c r="A6" t="s">
        <v>37</v>
      </c>
      <c r="B6" t="s">
        <v>2</v>
      </c>
      <c r="C6">
        <v>50</v>
      </c>
      <c r="D6">
        <v>230</v>
      </c>
      <c r="F6">
        <f t="shared" si="0"/>
        <v>11500</v>
      </c>
    </row>
    <row r="7" ht="21" customHeight="1" spans="1:7">
      <c r="B7" t="s">
        <v>14</v>
      </c>
      <c r="C7">
        <v>20</v>
      </c>
      <c r="D7">
        <v>410</v>
      </c>
      <c r="F7">
        <f t="shared" si="0"/>
        <v>8200</v>
      </c>
      <c r="G7">
        <f>F6+F7</f>
        <v>19700</v>
      </c>
    </row>
    <row r="8" ht="21" customHeight="1" spans="1:7">
      <c r="A8" t="s">
        <v>38</v>
      </c>
      <c r="B8" t="s">
        <v>2</v>
      </c>
      <c r="C8">
        <v>112</v>
      </c>
      <c r="D8">
        <v>230</v>
      </c>
      <c r="F8">
        <f t="shared" si="0"/>
        <v>25760</v>
      </c>
    </row>
    <row r="9" ht="21" customHeight="1" spans="1:7">
      <c r="B9" t="s">
        <v>14</v>
      </c>
      <c r="C9">
        <v>25</v>
      </c>
      <c r="D9">
        <v>410</v>
      </c>
      <c r="F9">
        <f t="shared" si="0"/>
        <v>10250</v>
      </c>
      <c r="G9">
        <f>F8+F9</f>
        <v>36010</v>
      </c>
    </row>
    <row r="10" ht="21" customHeight="1" spans="1:7">
      <c r="A10" t="s">
        <v>39</v>
      </c>
      <c r="B10" t="s">
        <v>2</v>
      </c>
      <c r="C10">
        <v>55</v>
      </c>
      <c r="D10">
        <v>230</v>
      </c>
      <c r="F10">
        <f t="shared" si="0"/>
        <v>12650</v>
      </c>
    </row>
    <row r="11" ht="21" customHeight="1" spans="1:7">
      <c r="B11" t="s">
        <v>14</v>
      </c>
      <c r="C11">
        <v>10</v>
      </c>
      <c r="D11">
        <v>410</v>
      </c>
      <c r="F11">
        <f t="shared" si="0"/>
        <v>4100</v>
      </c>
    </row>
    <row r="12" ht="21" customHeight="1" spans="1:7">
      <c r="B12" t="s">
        <v>12</v>
      </c>
      <c r="C12">
        <v>7</v>
      </c>
      <c r="D12">
        <v>350</v>
      </c>
      <c r="F12">
        <f t="shared" si="0"/>
        <v>2450</v>
      </c>
      <c r="G12">
        <f>F10+F11+F12</f>
        <v>19200</v>
      </c>
    </row>
    <row r="13" ht="21" customHeight="1" spans="1:7">
      <c r="A13" t="s">
        <v>40</v>
      </c>
      <c r="B13" t="s">
        <v>14</v>
      </c>
      <c r="C13">
        <v>30</v>
      </c>
      <c r="D13">
        <v>410</v>
      </c>
      <c r="F13">
        <f t="shared" si="0"/>
        <v>12300</v>
      </c>
    </row>
    <row r="14" ht="21" customHeight="1" spans="1:7">
      <c r="B14" t="s">
        <v>2</v>
      </c>
      <c r="C14">
        <v>65</v>
      </c>
      <c r="D14">
        <v>230</v>
      </c>
      <c r="F14">
        <f t="shared" si="0"/>
        <v>14950</v>
      </c>
      <c r="G14">
        <f>F13+F14</f>
        <v>27250</v>
      </c>
    </row>
    <row r="15" ht="21" customHeight="1" spans="1:7">
      <c r="A15" t="s">
        <v>41</v>
      </c>
      <c r="B15" t="s">
        <v>2</v>
      </c>
      <c r="C15">
        <v>80</v>
      </c>
      <c r="D15">
        <v>230</v>
      </c>
      <c r="F15">
        <f t="shared" si="0"/>
        <v>18400</v>
      </c>
      <c r="G15">
        <v>18400</v>
      </c>
    </row>
    <row r="16" ht="21" customHeight="1" spans="1:7">
      <c r="A16" t="s">
        <v>42</v>
      </c>
      <c r="B16" t="s">
        <v>12</v>
      </c>
      <c r="C16">
        <v>5</v>
      </c>
      <c r="D16">
        <v>350</v>
      </c>
      <c r="F16">
        <f t="shared" si="0"/>
        <v>1750</v>
      </c>
    </row>
    <row r="17" ht="21" customHeight="1" spans="1:7">
      <c r="B17" t="s">
        <v>2</v>
      </c>
      <c r="C17">
        <v>60</v>
      </c>
      <c r="D17">
        <v>230</v>
      </c>
      <c r="F17">
        <f t="shared" si="0"/>
        <v>13800</v>
      </c>
    </row>
    <row r="18" ht="21" customHeight="1" spans="1:7">
      <c r="B18" t="s">
        <v>14</v>
      </c>
      <c r="C18">
        <v>25</v>
      </c>
      <c r="D18">
        <v>410</v>
      </c>
      <c r="F18">
        <f t="shared" si="0"/>
        <v>10250</v>
      </c>
      <c r="G18">
        <f>F16+F17+F18</f>
        <v>25800</v>
      </c>
    </row>
    <row r="19" ht="21" customHeight="1" spans="1:7">
      <c r="A19" t="s">
        <v>43</v>
      </c>
      <c r="B19" t="s">
        <v>2</v>
      </c>
      <c r="C19">
        <v>25</v>
      </c>
      <c r="D19">
        <v>230</v>
      </c>
      <c r="F19">
        <f t="shared" si="0"/>
        <v>5750</v>
      </c>
      <c r="G19">
        <v>5750</v>
      </c>
    </row>
    <row r="20" ht="21" customHeight="1" spans="1:7">
      <c r="A20" t="s">
        <v>44</v>
      </c>
      <c r="B20" t="s">
        <v>14</v>
      </c>
      <c r="C20">
        <v>20</v>
      </c>
      <c r="D20">
        <v>410</v>
      </c>
      <c r="F20">
        <f t="shared" si="0"/>
        <v>8200</v>
      </c>
      <c r="G20">
        <v>8200</v>
      </c>
    </row>
    <row r="21" ht="21" customHeight="1" spans="1:7">
      <c r="A21" t="s">
        <v>45</v>
      </c>
      <c r="B21" t="s">
        <v>12</v>
      </c>
      <c r="C21">
        <v>5</v>
      </c>
      <c r="D21">
        <v>350</v>
      </c>
      <c r="F21">
        <f t="shared" si="0"/>
        <v>1750</v>
      </c>
    </row>
    <row r="22" ht="21" customHeight="1" spans="1:7">
      <c r="B22" t="s">
        <v>2</v>
      </c>
      <c r="C22">
        <v>100</v>
      </c>
      <c r="D22">
        <v>230</v>
      </c>
      <c r="F22">
        <f t="shared" si="0"/>
        <v>23000</v>
      </c>
    </row>
    <row r="23" ht="21" customHeight="1" spans="1:7">
      <c r="B23" t="s">
        <v>14</v>
      </c>
      <c r="C23">
        <v>25</v>
      </c>
      <c r="D23">
        <v>410</v>
      </c>
      <c r="F23">
        <f t="shared" si="0"/>
        <v>10250</v>
      </c>
      <c r="G23">
        <f>F21+F22+F23</f>
        <v>35000</v>
      </c>
    </row>
    <row r="24" ht="21" customHeight="1" spans="1:7">
      <c r="A24" t="s">
        <v>46</v>
      </c>
      <c r="B24" t="s">
        <v>1</v>
      </c>
      <c r="C24">
        <v>9</v>
      </c>
      <c r="D24">
        <v>230</v>
      </c>
      <c r="F24">
        <f t="shared" si="0"/>
        <v>2070</v>
      </c>
    </row>
    <row r="25" ht="21" customHeight="1" spans="1:7">
      <c r="B25" t="s">
        <v>14</v>
      </c>
      <c r="C25">
        <v>15</v>
      </c>
      <c r="D25">
        <v>410</v>
      </c>
      <c r="F25">
        <f t="shared" si="0"/>
        <v>6150</v>
      </c>
    </row>
    <row r="26" ht="21" customHeight="1" spans="1:7">
      <c r="B26" t="s">
        <v>2</v>
      </c>
      <c r="C26">
        <v>20</v>
      </c>
      <c r="D26">
        <v>230</v>
      </c>
      <c r="F26">
        <f t="shared" si="0"/>
        <v>4600</v>
      </c>
      <c r="G26">
        <f>F24+F25+F26</f>
        <v>12820</v>
      </c>
    </row>
    <row r="27" ht="21" customHeight="1" spans="1:7">
      <c r="F27" t="s">
        <v>47</v>
      </c>
      <c r="G27">
        <f>G5+G7+G9+G12+G14+G15+G18+G19+G20+G23+G26</f>
        <v>226680</v>
      </c>
    </row>
    <row r="28" ht="21" customHeight="1"/>
    <row r="29" ht="21" customHeight="1"/>
    <row r="30" ht="21" customHeight="1"/>
    <row r="31" ht="21" customHeight="1"/>
    <row r="32" ht="21" customHeight="1"/>
    <row r="33" ht="21" customHeight="1"/>
    <row r="34" ht="21" customHeight="1"/>
    <row r="35" ht="21" customHeight="1"/>
    <row r="36" ht="21" customHeight="1"/>
    <row r="37" ht="21" customHeight="1"/>
    <row r="38" ht="21" customHeight="1"/>
    <row r="39" ht="21" customHeight="1"/>
    <row r="40" ht="21" customHeight="1"/>
    <row r="41" ht="21" customHeight="1"/>
    <row r="42" ht="21" customHeight="1"/>
    <row r="43" ht="21" customHeight="1"/>
    <row r="44" ht="21" customHeight="1"/>
    <row r="45" ht="21" customHeight="1"/>
    <row r="46" ht="21" customHeight="1"/>
    <row r="47" ht="21" customHeight="1"/>
    <row r="48" ht="21" customHeight="1"/>
    <row r="49" ht="21" customHeight="1"/>
    <row r="50" ht="21" customHeight="1"/>
    <row r="51" ht="21" customHeight="1"/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范棋華</cp:lastModifiedBy>
  <dcterms:created xsi:type="dcterms:W3CDTF">2022-10-24T11:23:00Z</dcterms:created>
  <cp:lastPrinted>2026-01-25T11:21:00Z</cp:lastPrinted>
  <dcterms:modified xsi:type="dcterms:W3CDTF">2026-07-30T12:33:29Z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3076-12.1.0.26880</vt:lpwstr>
  </property>
  <property fmtid="{D5CDD505-2E9C-101B-9397-08002B2CF9AE}" pid="3" name="CalculationRule">
    <vt:i4>0</vt:i4>
  </property>
  <property fmtid="{D5CDD505-2E9C-101B-9397-08002B2CF9AE}" pid="4" name="ICV">
    <vt:lpwstr>BA1346F28B444FF6B57B180A135D9259_12</vt:lpwstr>
  </property>
</Properties>
</file>