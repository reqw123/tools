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<sst xmlns="http://schemas.openxmlformats.org/spreadsheetml/2006/main" count="53" uniqueCount="38">
  <si>
    <t>客戶名稱</t>
  </si>
  <si>
    <t>相正</t>
  </si>
  <si>
    <t>038-460177</t>
  </si>
  <si>
    <t>薑母鴨</t>
  </si>
  <si>
    <t>總共4張</t>
  </si>
  <si>
    <t>相正傳真</t>
  </si>
  <si>
    <t>對帳日期</t>
  </si>
  <si>
    <t>115.3.12~4.29</t>
  </si>
  <si>
    <t>機器麵線</t>
  </si>
  <si>
    <t>貨單日期</t>
  </si>
  <si>
    <t>貨品名稱</t>
  </si>
  <si>
    <t>數量</t>
  </si>
  <si>
    <t>單價</t>
  </si>
  <si>
    <r>
      <rPr>
        <sz val="12"/>
        <color theme="1"/>
        <rFont val="Calibri"/>
        <charset val="136"/>
        <scheme val="minor"/>
      </rPr>
      <t xml:space="preserve">合計 </t>
    </r>
    <r>
      <rPr>
        <sz val="12"/>
        <color rgb="FFFF0000"/>
        <rFont val="Calibri"/>
        <charset val="136"/>
        <scheme val="minor"/>
      </rPr>
      <t>包</t>
    </r>
  </si>
  <si>
    <t xml:space="preserve">  金額</t>
  </si>
  <si>
    <t xml:space="preserve">  總計金額</t>
  </si>
  <si>
    <t>111年        麵線新價</t>
  </si>
  <si>
    <t>115.3.12</t>
  </si>
  <si>
    <t>10件</t>
  </si>
  <si>
    <t>115.3.23</t>
  </si>
  <si>
    <t>5件</t>
  </si>
  <si>
    <t>白麵線</t>
  </si>
  <si>
    <t>115.4.1</t>
  </si>
  <si>
    <t>6件</t>
  </si>
  <si>
    <t>115.4.2</t>
  </si>
  <si>
    <t>115.4.8</t>
  </si>
  <si>
    <t>4件</t>
  </si>
  <si>
    <r>
      <rPr>
        <sz val="12"/>
        <color theme="1"/>
        <rFont val="Calibri"/>
        <charset val="136"/>
        <scheme val="minor"/>
      </rPr>
      <t xml:space="preserve">退貨 </t>
    </r>
    <r>
      <rPr>
        <sz val="12"/>
        <color rgb="FFFF0000"/>
        <rFont val="Calibri"/>
        <charset val="136"/>
        <scheme val="minor"/>
      </rPr>
      <t>元</t>
    </r>
  </si>
  <si>
    <t>115.4.20</t>
  </si>
  <si>
    <t>1件</t>
  </si>
  <si>
    <t>115.4.29</t>
  </si>
  <si>
    <t>7件</t>
  </si>
  <si>
    <t xml:space="preserve">     機</t>
  </si>
  <si>
    <t xml:space="preserve">  鴨</t>
  </si>
  <si>
    <t xml:space="preserve">    退</t>
  </si>
  <si>
    <t>總金額</t>
  </si>
  <si>
    <t>桃一企業社</t>
  </si>
  <si>
    <t xml:space="preserve">    038-460177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</si>
</sst>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6">
    <font>
      <sz val="12"/>
      <color theme="1"/>
      <name val="Calibri"/>
      <charset val="136"/>
      <scheme val="minor"/>
    </font>
    <font>
      <b/>
      <sz val="20"/>
      <color theme="1"/>
      <name val="Calibri"/>
      <charset val="136"/>
      <scheme val="minor"/>
    </font>
    <font>
      <b/>
      <sz val="12"/>
      <color theme="1"/>
      <name val="Calibri"/>
      <charset val="136"/>
      <scheme val="minor"/>
    </font>
    <font>
      <sz val="12"/>
      <color rgb="FFFF0000"/>
      <name val="Calibri"/>
      <charset val="136"/>
      <scheme val="minor"/>
    </font>
    <font>
      <sz val="14"/>
      <color theme="1"/>
      <name val="Calibri"/>
      <charset val="136"/>
      <scheme val="minor"/>
    </font>
    <font>
      <sz val="11"/>
      <color theme="1"/>
      <name val="Calibri"/>
      <charset val="136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4</xdr:row>
      <xdr:rowOff>0</xdr:rowOff>
    </xdr:from>
    <xdr:to>
      <xdr:col>6</xdr:col>
      <xdr:colOff>800735</xdr:colOff>
      <xdr:row>4</xdr:row>
      <xdr:rowOff>0</xdr:rowOff>
    </xdr:to>
    <xdr:cxnSp>
      <xdr:nvCxnSpPr>
        <xdr:cNvPr id="3" name="直線接點 2"/>
        <xdr:cNvCxnSpPr/>
      </xdr:nvCxnSpPr>
      <xdr:spPr>
        <a:xfrm>
          <a:off x="635" y="1066800"/>
          <a:ext cx="46863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6</xdr:col>
      <xdr:colOff>819150</xdr:colOff>
      <xdr:row>2</xdr:row>
      <xdr:rowOff>0</xdr:rowOff>
    </xdr:to>
    <xdr:cxnSp>
      <xdr:nvCxnSpPr>
        <xdr:cNvPr id="6" name="直線接點 5"/>
        <xdr:cNvCxnSpPr/>
      </xdr:nvCxnSpPr>
      <xdr:spPr>
        <a:xfrm>
          <a:off x="47625" y="533400"/>
          <a:ext cx="4657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10</xdr:row>
      <xdr:rowOff>0</xdr:rowOff>
    </xdr:from>
    <xdr:to>
      <xdr:col>6</xdr:col>
      <xdr:colOff>800735</xdr:colOff>
      <xdr:row>10</xdr:row>
      <xdr:rowOff>0</xdr:rowOff>
    </xdr:to>
    <xdr:cxnSp>
      <xdr:nvCxnSpPr>
        <xdr:cNvPr id="10" name="直線接點 9"/>
        <xdr:cNvCxnSpPr/>
      </xdr:nvCxnSpPr>
      <xdr:spPr>
        <a:xfrm>
          <a:off x="635" y="2667000"/>
          <a:ext cx="46863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5</xdr:row>
      <xdr:rowOff>0</xdr:rowOff>
    </xdr:from>
    <xdr:to>
      <xdr:col>6</xdr:col>
      <xdr:colOff>772160</xdr:colOff>
      <xdr:row>5</xdr:row>
      <xdr:rowOff>0</xdr:rowOff>
    </xdr:to>
    <xdr:cxnSp>
      <xdr:nvCxnSpPr>
        <xdr:cNvPr id="13" name="直線接點 12"/>
        <xdr:cNvCxnSpPr/>
      </xdr:nvCxnSpPr>
      <xdr:spPr>
        <a:xfrm>
          <a:off x="635" y="1333500"/>
          <a:ext cx="4657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590550</xdr:colOff>
      <xdr:row>13</xdr:row>
      <xdr:rowOff>104775</xdr:rowOff>
    </xdr:from>
    <xdr:to>
      <xdr:col>20</xdr:col>
      <xdr:colOff>504825</xdr:colOff>
      <xdr:row>13</xdr:row>
      <xdr:rowOff>104775</xdr:rowOff>
    </xdr:to>
    <xdr:cxnSp>
      <xdr:nvCxnSpPr>
        <xdr:cNvPr id="18" name="直線接點 17"/>
        <xdr:cNvCxnSpPr/>
      </xdr:nvCxnSpPr>
      <xdr:spPr>
        <a:xfrm flipH="1">
          <a:off x="9705975" y="3571875"/>
          <a:ext cx="4714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200025</xdr:colOff>
      <xdr:row>13</xdr:row>
      <xdr:rowOff>171450</xdr:rowOff>
    </xdr:from>
    <xdr:to>
      <xdr:col>20</xdr:col>
      <xdr:colOff>114300</xdr:colOff>
      <xdr:row>13</xdr:row>
      <xdr:rowOff>171450</xdr:rowOff>
    </xdr:to>
    <xdr:cxnSp>
      <xdr:nvCxnSpPr>
        <xdr:cNvPr id="7" name="直線接點 6"/>
        <xdr:cNvCxnSpPr/>
      </xdr:nvCxnSpPr>
      <xdr:spPr>
        <a:xfrm>
          <a:off x="9315450" y="3638550"/>
          <a:ext cx="4714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228600</xdr:colOff>
      <xdr:row>12</xdr:row>
      <xdr:rowOff>190500</xdr:rowOff>
    </xdr:from>
    <xdr:to>
      <xdr:col>21</xdr:col>
      <xdr:colOff>152400</xdr:colOff>
      <xdr:row>12</xdr:row>
      <xdr:rowOff>190501</xdr:rowOff>
    </xdr:to>
    <xdr:cxnSp>
      <xdr:nvCxnSpPr>
        <xdr:cNvPr id="9" name="直線接點 8"/>
        <xdr:cNvCxnSpPr/>
      </xdr:nvCxnSpPr>
      <xdr:spPr>
        <a:xfrm>
          <a:off x="10029825" y="3390900"/>
          <a:ext cx="4724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0</xdr:rowOff>
    </xdr:from>
    <xdr:to>
      <xdr:col>7</xdr:col>
      <xdr:colOff>9525</xdr:colOff>
      <xdr:row>3</xdr:row>
      <xdr:rowOff>1</xdr:rowOff>
    </xdr:to>
    <xdr:cxnSp>
      <xdr:nvCxnSpPr>
        <xdr:cNvPr id="17" name="直線接點 16"/>
        <xdr:cNvCxnSpPr/>
      </xdr:nvCxnSpPr>
      <xdr:spPr>
        <a:xfrm flipV="1">
          <a:off x="0" y="800100"/>
          <a:ext cx="4724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7</xdr:row>
      <xdr:rowOff>0</xdr:rowOff>
    </xdr:from>
    <xdr:to>
      <xdr:col>6</xdr:col>
      <xdr:colOff>810260</xdr:colOff>
      <xdr:row>7</xdr:row>
      <xdr:rowOff>0</xdr:rowOff>
    </xdr:to>
    <xdr:cxnSp>
      <xdr:nvCxnSpPr>
        <xdr:cNvPr id="11" name="直線接點 10"/>
        <xdr:cNvCxnSpPr/>
      </xdr:nvCxnSpPr>
      <xdr:spPr>
        <a:xfrm>
          <a:off x="635" y="1866900"/>
          <a:ext cx="4695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353060</xdr:colOff>
      <xdr:row>15</xdr:row>
      <xdr:rowOff>200025</xdr:rowOff>
    </xdr:from>
    <xdr:to>
      <xdr:col>21</xdr:col>
      <xdr:colOff>267335</xdr:colOff>
      <xdr:row>15</xdr:row>
      <xdr:rowOff>200025</xdr:rowOff>
    </xdr:to>
    <xdr:cxnSp>
      <xdr:nvCxnSpPr>
        <xdr:cNvPr id="16" name="直線接點 15"/>
        <xdr:cNvCxnSpPr/>
      </xdr:nvCxnSpPr>
      <xdr:spPr>
        <a:xfrm>
          <a:off x="10154285" y="4200525"/>
          <a:ext cx="47148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11</xdr:row>
      <xdr:rowOff>0</xdr:rowOff>
    </xdr:from>
    <xdr:to>
      <xdr:col>6</xdr:col>
      <xdr:colOff>819785</xdr:colOff>
      <xdr:row>11</xdr:row>
      <xdr:rowOff>0</xdr:rowOff>
    </xdr:to>
    <xdr:cxnSp>
      <xdr:nvCxnSpPr>
        <xdr:cNvPr id="8" name="直線接點 7"/>
        <xdr:cNvCxnSpPr/>
      </xdr:nvCxnSpPr>
      <xdr:spPr>
        <a:xfrm>
          <a:off x="635" y="2933700"/>
          <a:ext cx="47053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448310</xdr:colOff>
      <xdr:row>14</xdr:row>
      <xdr:rowOff>180975</xdr:rowOff>
    </xdr:from>
    <xdr:to>
      <xdr:col>20</xdr:col>
      <xdr:colOff>353060</xdr:colOff>
      <xdr:row>14</xdr:row>
      <xdr:rowOff>180975</xdr:rowOff>
    </xdr:to>
    <xdr:cxnSp>
      <xdr:nvCxnSpPr>
        <xdr:cNvPr id="15" name="直線接點 14"/>
        <xdr:cNvCxnSpPr/>
      </xdr:nvCxnSpPr>
      <xdr:spPr>
        <a:xfrm>
          <a:off x="9563735" y="3914775"/>
          <a:ext cx="47053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135255</xdr:colOff>
      <xdr:row>5</xdr:row>
      <xdr:rowOff>257175</xdr:rowOff>
    </xdr:from>
    <xdr:to>
      <xdr:col>6</xdr:col>
      <xdr:colOff>819150</xdr:colOff>
      <xdr:row>5</xdr:row>
      <xdr:rowOff>257175</xdr:rowOff>
    </xdr:to>
    <xdr:cxnSp>
      <xdr:nvCxnSpPr>
        <xdr:cNvPr id="23" name="直線接點 22"/>
        <xdr:cNvCxnSpPr/>
      </xdr:nvCxnSpPr>
      <xdr:spPr>
        <a:xfrm>
          <a:off x="135255" y="1590675"/>
          <a:ext cx="457009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562610</xdr:colOff>
      <xdr:row>11</xdr:row>
      <xdr:rowOff>219075</xdr:rowOff>
    </xdr:from>
    <xdr:to>
      <xdr:col>20</xdr:col>
      <xdr:colOff>457835</xdr:colOff>
      <xdr:row>11</xdr:row>
      <xdr:rowOff>219075</xdr:rowOff>
    </xdr:to>
    <xdr:cxnSp>
      <xdr:nvCxnSpPr>
        <xdr:cNvPr id="27" name="直線接點 26"/>
        <xdr:cNvCxnSpPr/>
      </xdr:nvCxnSpPr>
      <xdr:spPr>
        <a:xfrm>
          <a:off x="9678035" y="3152775"/>
          <a:ext cx="4695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8</xdr:row>
      <xdr:rowOff>0</xdr:rowOff>
    </xdr:from>
    <xdr:to>
      <xdr:col>6</xdr:col>
      <xdr:colOff>800735</xdr:colOff>
      <xdr:row>8</xdr:row>
      <xdr:rowOff>0</xdr:rowOff>
    </xdr:to>
    <xdr:cxnSp>
      <xdr:nvCxnSpPr>
        <xdr:cNvPr id="31" name="直線接點 30"/>
        <xdr:cNvCxnSpPr/>
      </xdr:nvCxnSpPr>
      <xdr:spPr>
        <a:xfrm>
          <a:off x="635" y="2133600"/>
          <a:ext cx="46863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tabSelected="1" workbookViewId="0">
      <selection activeCell="A1" sqref="A1:G19"/>
    </sheetView>
  </sheetViews>
  <sheetFormatPr defaultColWidth="9" defaultRowHeight="15.75"/>
  <cols>
    <col min="1" max="1" width="10.75" customWidth="1"/>
    <col min="2" max="2" width="11.25" customWidth="1"/>
    <col min="3" max="3" width="6" customWidth="1"/>
    <col min="4" max="4" width="6.375" customWidth="1"/>
    <col min="5" max="5" width="8" customWidth="1"/>
    <col min="6" max="6" width="8.625" customWidth="1"/>
    <col min="7" max="7" width="10.875" customWidth="1"/>
    <col min="8" max="8" width="10.5" customWidth="1"/>
    <col min="9" max="9" width="11.25" customWidth="1"/>
  </cols>
  <sheetData>
    <row r="1" ht="21" customHeight="1" spans="1:13">
      <c r="A1" t="s">
        <v>0</v>
      </c>
      <c r="C1" s="1" t="s">
        <v>1</v>
      </c>
      <c r="D1" s="2"/>
      <c r="E1" s="2" t="s">
        <v>2</v>
      </c>
      <c r="I1" t="s">
        <v>3</v>
      </c>
      <c r="J1" t="s">
        <v>4</v>
      </c>
      <c r="K1" t="s">
        <v>5</v>
      </c>
      <c r="L1" t="s">
        <v>2</v>
      </c>
    </row>
    <row r="2" ht="21" customHeight="1" spans="1:13">
      <c r="A2" t="s">
        <v>6</v>
      </c>
      <c r="B2" t="s">
        <v>7</v>
      </c>
      <c r="I2" t="s">
        <v>8</v>
      </c>
    </row>
    <row r="3" ht="21" customHeight="1" spans="1:1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I3" t="s">
        <v>8</v>
      </c>
      <c r="K3" t="s">
        <v>16</v>
      </c>
    </row>
    <row r="4" ht="21" customHeight="1" spans="1:13">
      <c r="A4" t="s">
        <v>17</v>
      </c>
      <c r="B4" t="s">
        <v>8</v>
      </c>
      <c r="C4" t="s">
        <v>18</v>
      </c>
      <c r="D4">
        <v>280</v>
      </c>
      <c r="E4">
        <v>50</v>
      </c>
      <c r="F4">
        <f>D4*E4</f>
        <v>14000</v>
      </c>
      <c r="L4" t="s">
        <v>8</v>
      </c>
      <c r="M4" s="3">
        <v>280</v>
      </c>
    </row>
    <row r="5" ht="21" customHeight="1" spans="1:13">
      <c r="A5" t="s">
        <v>19</v>
      </c>
      <c r="B5" t="s">
        <v>8</v>
      </c>
      <c r="C5" t="s">
        <v>20</v>
      </c>
      <c r="D5">
        <v>280</v>
      </c>
      <c r="E5">
        <v>25</v>
      </c>
      <c r="F5">
        <f>D5*E5</f>
        <v>7000</v>
      </c>
      <c r="L5" t="s">
        <v>21</v>
      </c>
      <c r="M5" s="3">
        <v>310</v>
      </c>
    </row>
    <row r="6" ht="21" customHeight="1" spans="1:13">
      <c r="A6" t="s">
        <v>22</v>
      </c>
      <c r="B6" t="s">
        <v>8</v>
      </c>
      <c r="C6" t="s">
        <v>23</v>
      </c>
      <c r="D6">
        <v>280</v>
      </c>
      <c r="E6">
        <v>30</v>
      </c>
      <c r="F6">
        <f>D6*E6</f>
        <v>8400</v>
      </c>
      <c r="L6" t="s">
        <v>3</v>
      </c>
      <c r="M6" s="3">
        <v>100</v>
      </c>
    </row>
    <row r="7" ht="21" customHeight="1" spans="1:13">
      <c r="A7" t="s">
        <v>24</v>
      </c>
      <c r="B7" t="s">
        <v>8</v>
      </c>
      <c r="C7" t="s">
        <v>23</v>
      </c>
      <c r="D7">
        <v>280</v>
      </c>
      <c r="E7">
        <v>30</v>
      </c>
      <c r="F7">
        <f>D7*E7</f>
        <v>8400</v>
      </c>
    </row>
    <row r="8" ht="21" customHeight="1" spans="1:13">
      <c r="A8" t="s">
        <v>25</v>
      </c>
      <c r="B8" t="s">
        <v>8</v>
      </c>
      <c r="C8" t="s">
        <v>26</v>
      </c>
      <c r="D8">
        <v>280</v>
      </c>
      <c r="E8">
        <v>20</v>
      </c>
      <c r="F8">
        <f>D8*E8</f>
        <v>5600</v>
      </c>
      <c r="L8" t="s">
        <v>27</v>
      </c>
    </row>
    <row r="9" ht="21" customHeight="1" spans="1:13">
      <c r="A9" t="s">
        <v>28</v>
      </c>
      <c r="B9" t="s">
        <v>8</v>
      </c>
      <c r="C9" t="s">
        <v>20</v>
      </c>
      <c r="D9">
        <v>280</v>
      </c>
      <c r="E9">
        <v>25</v>
      </c>
      <c r="F9">
        <f>D9*E9</f>
        <v>7000</v>
      </c>
    </row>
    <row r="10" ht="21" customHeight="1" spans="1:13">
      <c r="B10" t="s">
        <v>3</v>
      </c>
      <c r="C10" t="s">
        <v>29</v>
      </c>
      <c r="D10">
        <v>100</v>
      </c>
      <c r="E10">
        <v>15</v>
      </c>
      <c r="F10">
        <f>D10*E10</f>
        <v>1500</v>
      </c>
    </row>
    <row r="11" ht="21" customHeight="1" spans="1:13">
      <c r="A11" t="s">
        <v>30</v>
      </c>
      <c r="B11" t="s">
        <v>8</v>
      </c>
      <c r="C11" t="s">
        <v>31</v>
      </c>
      <c r="D11">
        <v>280</v>
      </c>
      <c r="E11">
        <v>35</v>
      </c>
      <c r="F11">
        <f>D11*E11</f>
        <v>9800</v>
      </c>
      <c r="J11" s="3"/>
    </row>
    <row r="12" ht="21" customHeight="1" spans="1:13">
      <c r="G12">
        <f>F4+F5+F6+F7+F8+F9+F10+F11</f>
        <v>61700</v>
      </c>
    </row>
    <row r="13" ht="21" customHeight="1"/>
    <row r="14" ht="21" customHeight="1"/>
    <row r="15" ht="21" customHeight="1" spans="1:13">
      <c r="B15" s="4" t="s">
        <v>32</v>
      </c>
      <c r="C15" s="4" t="s">
        <v>33</v>
      </c>
      <c r="D15" s="3" t="s">
        <v>34</v>
      </c>
    </row>
    <row r="16" ht="21" customHeight="1" spans="1:13">
      <c r="B16">
        <f>E4+E5+E6+E7+E8+E9+E11</f>
        <v>215</v>
      </c>
      <c r="C16">
        <f>E10</f>
        <v>15</v>
      </c>
      <c r="K16" s="4"/>
    </row>
    <row r="17" ht="21" customHeight="1" spans="1:7">
      <c r="B17">
        <f>B16*D8</f>
        <v>60200</v>
      </c>
      <c r="C17">
        <f>C16*D10</f>
        <v>1500</v>
      </c>
      <c r="F17" t="s">
        <v>35</v>
      </c>
      <c r="G17">
        <f>B17+C17</f>
        <v>61700</v>
      </c>
    </row>
    <row r="18" ht="21" customHeight="1"/>
    <row r="19" ht="21" customHeight="1" spans="1:7">
      <c r="A19" s="3"/>
      <c r="B19" s="5" t="s">
        <v>36</v>
      </c>
      <c r="E19" s="6" t="s">
        <v>5</v>
      </c>
      <c r="F19" t="s">
        <v>37</v>
      </c>
    </row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</sheetData>
  <pageMargins left="0.708661417322835" right="0.708661417322835" top="0.748031496062992" bottom="0.748031496062992" header="0.31496062992126" footer="0.31496062992126"/>
  <pageSetup paperSize="9" scale="130" orientation="portrait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范棋華</cp:lastModifiedBy>
  <dcterms:created xsi:type="dcterms:W3CDTF">2022-10-24T10:56:00Z</dcterms:created>
  <cp:lastPrinted>2026-01-04T08:01:00Z</cp:lastPrinted>
  <dcterms:modified xsi:type="dcterms:W3CDTF">2026-05-07T05:54:02Z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3076-12.1.0.25242</vt:lpwstr>
  </property>
  <property fmtid="{D5CDD505-2E9C-101B-9397-08002B2CF9AE}" pid="3" name="CalculationRule">
    <vt:i4>0</vt:i4>
  </property>
  <property fmtid="{D5CDD505-2E9C-101B-9397-08002B2CF9AE}" pid="4" name="ICV">
    <vt:lpwstr>9AFCE4C4587B493DB437DF46DD62922D_12</vt:lpwstr>
  </property>
</Properties>
</file>